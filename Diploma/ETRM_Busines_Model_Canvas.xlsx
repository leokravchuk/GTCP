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CHARTER" sheetId="1" r:id="rId5"/>
    <sheet state="visible" name="1.Busines Model Canvas" sheetId="2" r:id="rId6"/>
    <sheet state="visible" name="2.Road Map" sheetId="3" r:id="rId7"/>
    <sheet state="visible" name="3.Work breakdown structure" sheetId="4" r:id="rId8"/>
    <sheet state="visible" name="4.Gant Diagramm" sheetId="5" r:id="rId9"/>
    <sheet state="visible" name="5.BUDGET" sheetId="6" r:id="rId10"/>
  </sheets>
  <definedNames>
    <definedName hidden="1" localSheetId="3" name="_xlnm._FilterDatabase">'3.Work breakdown structure'!$A$2:$AA$43</definedName>
  </definedNames>
  <calcPr/>
</workbook>
</file>

<file path=xl/sharedStrings.xml><?xml version="1.0" encoding="utf-8"?>
<sst xmlns="http://schemas.openxmlformats.org/spreadsheetml/2006/main" count="422" uniqueCount="252">
  <si>
    <t>Проект: Внедрение ETRM-системы</t>
  </si>
  <si>
    <t>Тип проекта: Enterprise IT / Custom Software</t>
  </si>
  <si>
    <t>Заказчик: Энерготрейдинговая компания</t>
  </si>
  <si>
    <t>Инициатор проекта: Заказчик</t>
  </si>
  <si>
    <t>Руководитель проекта: Project Manager</t>
  </si>
  <si>
    <t>Дата: 19.01.2026</t>
  </si>
  <si>
    <t>Цель проекта</t>
  </si>
  <si>
    <t>Создать и внедрить ETRM-систему для автоматизации торговых операций и управления рисками заказчика с целью повышения прозрачности, снижения финансовых рисков и соответствия регуляторным требованиям.</t>
  </si>
  <si>
    <t>Бизнес-обоснование</t>
  </si>
  <si>
    <t>Внедрение ETRM позволит:
-снизить операционные и рыночные риски;
-автоматизировать расчёт торговых позиций и P&amp;L;
-повысить качество управленческой отчётности;
-сократить ручные операции и ошибки;
-беспечить соответствие внутренним и внешним регуляторным требованиям.</t>
  </si>
  <si>
    <t>Область проекта (Scope)</t>
  </si>
  <si>
    <t>Включено в проект:
-сбор и анализ бизнес- и регуляторных требований;
-проектирование архитектуры решения;
-разработка и кастомизация ETRM-модулей (Trading, Risk,Invoicing, Reporting);
-интеграция с системами заказчика;
-тестирование, внедрение и запуск в промышленную эксплуатацию;
-обучение пользователей;
-гарантийная поддержка.</t>
  </si>
  <si>
    <t>Не входит в проект</t>
  </si>
  <si>
    <t>-разработка сторонних систем;
-изменение бизнес-процессов заказчика вне ETRM;
-долгосрочная поддержка после гарантийного периода.</t>
  </si>
  <si>
    <t>Основные результаты (Deliverables)</t>
  </si>
  <si>
    <t>-согласованный документ требований (BRD);
-архитектурная документация (SDD);
-настроенная и внедрённая ETRM-система;
-обученные пользователи;
-подписанный акт приёмки (Go-Live).</t>
  </si>
  <si>
    <t>Ключевые стейкхолдеры</t>
  </si>
  <si>
    <t>Роль</t>
  </si>
  <si>
    <t>Ответственность</t>
  </si>
  <si>
    <t>Заказчик</t>
  </si>
  <si>
    <t>Формирование требований, приёмка</t>
  </si>
  <si>
    <t>Project Manager</t>
  </si>
  <si>
    <t>Управление сроками, бюджетом и рисками</t>
  </si>
  <si>
    <t>Business Analyst</t>
  </si>
  <si>
    <t>Сбор и описание требований</t>
  </si>
  <si>
    <t>Architect</t>
  </si>
  <si>
    <t>Архитектура и интеграции</t>
  </si>
  <si>
    <t>Команда разработки</t>
  </si>
  <si>
    <t>Реализация системы</t>
  </si>
  <si>
    <t>QA</t>
  </si>
  <si>
    <t>Контроль качества</t>
  </si>
  <si>
    <t>Пользователи</t>
  </si>
  <si>
    <t>UAT и обратная связь</t>
  </si>
  <si>
    <t>Ключевые KPI проекта</t>
  </si>
  <si>
    <t>соблюдение сроков проекта;
соответствие функционала требованиям;
успешное прохождение UAT;
запуск системы в промышленную эксплуатацию;
удовлетворённость заказчика.</t>
  </si>
  <si>
    <t>Основные риски</t>
  </si>
  <si>
    <t>изменение требований заказчика;
сложности интеграции с существующими системами;
задержки со стороны стейкхолдеров;
регуляторные изменения;
недостаточная вовлечённость пользователей.</t>
  </si>
  <si>
    <t>Ограничения и допущения</t>
  </si>
  <si>
    <t>Ограничения</t>
  </si>
  <si>
    <t>Допущения</t>
  </si>
  <si>
    <t>фиксированные сроки и бюджет;
ограниченные ресурсы команды</t>
  </si>
  <si>
    <t>заказчик своевременно предоставляет информацию;
ключевые пользователи доступны для UAT;
инфраструктура заказчика готова к внедрению.</t>
  </si>
  <si>
    <t xml:space="preserve">Внедрение ETRM системы для инфраструктурного проекта </t>
  </si>
  <si>
    <t>Busines Model Canvas</t>
  </si>
  <si>
    <t>1_Customer Segments _Клиентские сегменты</t>
  </si>
  <si>
    <t>2_Value_Propositions_Ценностное предложение</t>
  </si>
  <si>
    <t>3_Value_Propositions_Ценностное предложение</t>
  </si>
  <si>
    <t>Энерготрейденговые компании
Генерирующие компани (электроэнергия, тепло)
Нефтегазовые компании
Крупные промышленные холдинги с собственной торговлей энергией
Энергосбытовые компании</t>
  </si>
  <si>
    <t xml:space="preserve">Централизованное управление торговыми операциями энергоресурсами
Снижение финансовых и рыночных рисков
Повышение прозрачночсти торговых позиций и P&amp;L
Cоответсвие внутренним требованиям и требованиям регулятора
Автоматизация расчетов, заключение контракотов, отчетности и риск- метрик
</t>
  </si>
  <si>
    <t xml:space="preserve">Прямые продажи  (B2B, eneterprise)
Партнеры и системные интеграторы
Отраслевые конференции и выставки
Профессиональные  сообщества и рекомендации
Корпоративный сайт и отраслевые медия
</t>
  </si>
  <si>
    <t>4_Customer Relationships_Отношения с клиентами</t>
  </si>
  <si>
    <t>5_ Revenue Streams_Потоки доходов</t>
  </si>
  <si>
    <t>6_KEY ACTIVITIES_Ключевые виды деятельности</t>
  </si>
  <si>
    <t xml:space="preserve">Долгосрочные контрактные отношения
Персональный аккаунт-менеджер
Поддержка 24/7 (SLA)
Обучение пользователей и консультации
Кастомизация продукта под клиента
</t>
  </si>
  <si>
    <t xml:space="preserve">Лицензия на ПО (годовые/ ,бесрочные)
Подписка (SaaS / On-Prem Support)
Внедрение и кастомизация
Техническая поддержка и сопровождение
Дополнителные модули и аналитика
</t>
  </si>
  <si>
    <t xml:space="preserve">Разработка и развитие ETRM-платформы
Интеграция с торговыми и расчетными системами
Аналитика рисков и данных
Поддержка и сопровождение клиентов
Обеспечение информационной безопасности
</t>
  </si>
  <si>
    <t xml:space="preserve">7_Key_Resources_Ключевые ресурсы
</t>
  </si>
  <si>
    <t>8_Key_Partners (Ключевые партнеры)</t>
  </si>
  <si>
    <t>9_Cost_Structure_Структура_затрат</t>
  </si>
  <si>
    <t xml:space="preserve">Команда разработчиков (backend, frontend,data)
Экспертиза в энергетике и торговле
IT - инфраструктура
Методология риск-менеджмент
Законы, Регламент о работе Системы (Network Code),требования регулятора
</t>
  </si>
  <si>
    <t>Системные интеграторы
Провайлеры рыночных данных (ЭТП)
Поставщики инфраструктуры
Консалтинговые компании
Регуляторные и отраслевые организации</t>
  </si>
  <si>
    <t xml:space="preserve">ФОТ (разработка, аналитика, поддержка)
Инфраструктура и ПО
Лицензии и данные
Маркетинг и продажи
Поддержка и сопровождение клиентов
</t>
  </si>
  <si>
    <t>Roadmap ETRM-проекта при наличии заказчика (enterprise-внедрение)</t>
  </si>
  <si>
    <t>Стартап / MVP</t>
  </si>
  <si>
    <t>С клиентом</t>
  </si>
  <si>
    <t>Проверка гипотез</t>
  </si>
  <si>
    <t>Контракт и SLA</t>
  </si>
  <si>
    <t>Тип проекта: Enterprise IT / Custom ETRM</t>
  </si>
  <si>
    <t>Свобода изменений</t>
  </si>
  <si>
    <t>Change Requests</t>
  </si>
  <si>
    <t>Фокус: Внедрение под требования конкретного заказчика</t>
  </si>
  <si>
    <t>Roadmap гибкий</t>
  </si>
  <si>
    <t>Roadmap фиксирован</t>
  </si>
  <si>
    <t>Горизонт: 9–12 месяцев</t>
  </si>
  <si>
    <t>Ценность — рынок</t>
  </si>
  <si>
    <t>Ценность — заказчик</t>
  </si>
  <si>
    <t>MVP</t>
  </si>
  <si>
    <t>Acceptance &amp; Go-Live</t>
  </si>
  <si>
    <t>№</t>
  </si>
  <si>
    <t>Этап</t>
  </si>
  <si>
    <t>Название этапа</t>
  </si>
  <si>
    <t>Цель этапа</t>
  </si>
  <si>
    <t>Сроки</t>
  </si>
  <si>
    <t>Initiation</t>
  </si>
  <si>
    <t>Старт проекта</t>
  </si>
  <si>
    <t>Зафиксировать цели и рамки</t>
  </si>
  <si>
    <t>Месяц 1</t>
  </si>
  <si>
    <t>Discovery</t>
  </si>
  <si>
    <t>Сбор и анализ требований</t>
  </si>
  <si>
    <t>Понять бизнес и регуляцию клиента</t>
  </si>
  <si>
    <t>Месяц 1–2</t>
  </si>
  <si>
    <t>Design</t>
  </si>
  <si>
    <t>Проектирование решения</t>
  </si>
  <si>
    <t>Спроектировать систему под клиента</t>
  </si>
  <si>
    <t>Месяц 3</t>
  </si>
  <si>
    <t>Build</t>
  </si>
  <si>
    <t>Разработка и кастомизация</t>
  </si>
  <si>
    <t>Реализация ETRM под клиента</t>
  </si>
  <si>
    <t>Месяц 4–6</t>
  </si>
  <si>
    <t>Test</t>
  </si>
  <si>
    <t>Тестирование и приёмка</t>
  </si>
  <si>
    <t>Проверка качества и соответствия</t>
  </si>
  <si>
    <t>Месяц 7</t>
  </si>
  <si>
    <t>Deploy</t>
  </si>
  <si>
    <t>Внедрение</t>
  </si>
  <si>
    <t>Запуск в промышленную эксплуатацию</t>
  </si>
  <si>
    <t>Месяц 8</t>
  </si>
  <si>
    <t>Support</t>
  </si>
  <si>
    <t>Поддержка и развитие</t>
  </si>
  <si>
    <t>Стабилизация и улучшения</t>
  </si>
  <si>
    <t>Месяц 9–12</t>
  </si>
  <si>
    <t>CHEK LIST</t>
  </si>
  <si>
    <t>Подписание договора
Назначение команд
Определение KPI проекта
Project Charter</t>
  </si>
  <si>
    <t>AS-IS процессов клиента
TO-BE модель
Регуляторные требования
Согласование scope</t>
  </si>
  <si>
    <t>Архитектура
Проектирование интеграций
UX под бизнес-роль
Технический дизайн</t>
  </si>
  <si>
    <t>Настройка модулей ETRM
Разработка кастомных функций
Интеграции (биржи, ERP, BI)
Миграция данных
Написание рабочей документации
Пользовательских инструкций под тестирование</t>
  </si>
  <si>
    <t>System Testing
UAT (User Acceptance Testing)
Исправление дефектов
Подготовка к Go-Live</t>
  </si>
  <si>
    <t>Промышленный запуск
Обучение пользователей
Подписание Акта-приемки</t>
  </si>
  <si>
    <t>Гарантийная поддержка
Оптимизация
План развития (Phase 2)</t>
  </si>
  <si>
    <t>Задача</t>
  </si>
  <si>
    <t>Атомарная задача</t>
  </si>
  <si>
    <t>Исполнитель</t>
  </si>
  <si>
    <t>Запуск проекта</t>
  </si>
  <si>
    <t>Подготовить Project Charter</t>
  </si>
  <si>
    <t>PM</t>
  </si>
  <si>
    <t>Определить KPI проекта</t>
  </si>
  <si>
    <t>Команда</t>
  </si>
  <si>
    <t>Назначить проектную команду</t>
  </si>
  <si>
    <t>Контракт</t>
  </si>
  <si>
    <t>Согласовать scope и milestones</t>
  </si>
  <si>
    <t>Коммуникации</t>
  </si>
  <si>
    <t>Настроить каналы коммуникаций</t>
  </si>
  <si>
    <t>Анализ AS-IS</t>
  </si>
  <si>
    <t>Описать текущие процессы торговли</t>
  </si>
  <si>
    <t>BA</t>
  </si>
  <si>
    <t>Описать процессы риск-менеджмента</t>
  </si>
  <si>
    <t>Требования</t>
  </si>
  <si>
    <t>Собрать бизнес-требования</t>
  </si>
  <si>
    <t>Собрать регуляторные требования</t>
  </si>
  <si>
    <t>CustDev</t>
  </si>
  <si>
    <t>Провести интервью со стейкхолдерами</t>
  </si>
  <si>
    <t>Документация</t>
  </si>
  <si>
    <t>Подготовить BRD</t>
  </si>
  <si>
    <t>Согласование</t>
  </si>
  <si>
    <t>Согласовать требования с клиентом</t>
  </si>
  <si>
    <t>Архитектура</t>
  </si>
  <si>
    <t>Разработать архитектурную схему</t>
  </si>
  <si>
    <t>Выбрать модель развертывания</t>
  </si>
  <si>
    <t>UX/UI</t>
  </si>
  <si>
    <t>Создать UX-прототипы</t>
  </si>
  <si>
    <t>Designer</t>
  </si>
  <si>
    <t>Согласовать UX с клиентом</t>
  </si>
  <si>
    <t>Интеграции</t>
  </si>
  <si>
    <t>Спроектировать интеграции</t>
  </si>
  <si>
    <t>Подготовить SDD</t>
  </si>
  <si>
    <t>Backend</t>
  </si>
  <si>
    <t>Реализовать модуль Trading</t>
  </si>
  <si>
    <t>Backend Dev</t>
  </si>
  <si>
    <t>Реализовать модуль Risk</t>
  </si>
  <si>
    <t>Frontend</t>
  </si>
  <si>
    <t>Реализовать UI</t>
  </si>
  <si>
    <t>Frontend Dev</t>
  </si>
  <si>
    <t>Реализовать интеграции</t>
  </si>
  <si>
    <t>Data</t>
  </si>
  <si>
    <t>Настроить модели данных</t>
  </si>
  <si>
    <t>Data Engineer</t>
  </si>
  <si>
    <t>Тестирование</t>
  </si>
  <si>
    <t>Провести unit-тесты</t>
  </si>
  <si>
    <t>Обновить техдокументацию</t>
  </si>
  <si>
    <t>Tech Writer</t>
  </si>
  <si>
    <t>System Test</t>
  </si>
  <si>
    <t>Провести системное тестирование</t>
  </si>
  <si>
    <t>UAT</t>
  </si>
  <si>
    <t>Подготовить UAT-сценарии</t>
  </si>
  <si>
    <t>Провести UAT с клиентом</t>
  </si>
  <si>
    <t>Defects</t>
  </si>
  <si>
    <t>Исправить дефекты</t>
  </si>
  <si>
    <t>Dev</t>
  </si>
  <si>
    <t>Отчётность</t>
  </si>
  <si>
    <t>Подготовить отчёт о тестировании</t>
  </si>
  <si>
    <t>Инфраструктура</t>
  </si>
  <si>
    <t>Подготовить prod-среду</t>
  </si>
  <si>
    <t>DevOps</t>
  </si>
  <si>
    <t>Развернуть систему</t>
  </si>
  <si>
    <t>Мигрировать данные</t>
  </si>
  <si>
    <t>Обучение</t>
  </si>
  <si>
    <t>Провести обучение пользователей</t>
  </si>
  <si>
    <t>Go-live</t>
  </si>
  <si>
    <t>Запуск в эксплуатацию</t>
  </si>
  <si>
    <t>Приёмка</t>
  </si>
  <si>
    <t>Подписать акт приёмки</t>
  </si>
  <si>
    <t>Поддержка</t>
  </si>
  <si>
    <t>Обработка инцидентов</t>
  </si>
  <si>
    <t>Мониторинг системы</t>
  </si>
  <si>
    <t>Улучшения</t>
  </si>
  <si>
    <t>Сбор обратной связи</t>
  </si>
  <si>
    <t>Формирование backlog Phase 2</t>
  </si>
  <si>
    <t>Обновление пользовательской документации</t>
  </si>
  <si>
    <t>Начало</t>
  </si>
  <si>
    <t>Окончание</t>
  </si>
  <si>
    <t>Дни</t>
  </si>
  <si>
    <t>Project Charter</t>
  </si>
  <si>
    <t>Формирование команды</t>
  </si>
  <si>
    <t>Согласование scope</t>
  </si>
  <si>
    <t>Коммуникации проекта</t>
  </si>
  <si>
    <t>Сбор требований</t>
  </si>
  <si>
    <t>Интервью со стейкхолдерами</t>
  </si>
  <si>
    <t>Подготовка BRD</t>
  </si>
  <si>
    <t>Согласование BRD</t>
  </si>
  <si>
    <t>Архитектура системы</t>
  </si>
  <si>
    <t>UX-прототипы</t>
  </si>
  <si>
    <t>Проектирование интеграций</t>
  </si>
  <si>
    <t>Подготовка SDD</t>
  </si>
  <si>
    <t>Backend (Trading, Risk)</t>
  </si>
  <si>
    <t>Data-модели</t>
  </si>
  <si>
    <t>Unit-тесты</t>
  </si>
  <si>
    <t>System Testing</t>
  </si>
  <si>
    <t>QA + Client</t>
  </si>
  <si>
    <t>Исправление дефектов</t>
  </si>
  <si>
    <t>Отчёт о тестировании</t>
  </si>
  <si>
    <t>Подготовка prod-среды</t>
  </si>
  <si>
    <t>Развёртывание</t>
  </si>
  <si>
    <t>Миграция данных</t>
  </si>
  <si>
    <t>Обучение пользователей</t>
  </si>
  <si>
    <t>Go-Live</t>
  </si>
  <si>
    <t>Смета проекта сформирована на основе иерархической структуры работ и диаграммы Ганта и включает трудозатраты исполнителей, их ставки, а также прочие расходы, необходимые для реализации проекта.</t>
  </si>
  <si>
    <t>Этапы</t>
  </si>
  <si>
    <t>Часы</t>
  </si>
  <si>
    <t>Ставка (₽/час)</t>
  </si>
  <si>
    <t>Стоимость ($)</t>
  </si>
  <si>
    <t>Стоимость (₽)</t>
  </si>
  <si>
    <t>Initiation, Discovery, Test, Deploy, Support</t>
  </si>
  <si>
    <t>Backend Developer</t>
  </si>
  <si>
    <t>Build, Test</t>
  </si>
  <si>
    <t>Frontend Developer</t>
  </si>
  <si>
    <t>Build, Deploy</t>
  </si>
  <si>
    <t>QA Engineer</t>
  </si>
  <si>
    <t>Deploy, Support</t>
  </si>
  <si>
    <t>Build, Support</t>
  </si>
  <si>
    <t>Support Engineer</t>
  </si>
  <si>
    <t>ИТОГО ФОТ</t>
  </si>
  <si>
    <t>Прочие расходы (Non-Labor Costs)</t>
  </si>
  <si>
    <t>ПО и инструменты</t>
  </si>
  <si>
    <t xml:space="preserve">Инфраструктура
</t>
  </si>
  <si>
    <t>Test среда</t>
  </si>
  <si>
    <t>Prod среда</t>
  </si>
  <si>
    <t>Резервное коирование</t>
  </si>
  <si>
    <t>Прочее</t>
  </si>
  <si>
    <t>Командировки / встречи</t>
  </si>
  <si>
    <t>Резерв 10%</t>
  </si>
  <si>
    <t>ИТОГО ПРОЧИЕ</t>
  </si>
  <si>
    <t>ИТОГО ПРОЕКТ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</si>
</sst>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&quot;$&quot;"/>
    <numFmt numFmtId="165" formatCode="#,##0.00;(#,##0.00)"/>
    <numFmt numFmtId="166" formatCode="_(&quot;$&quot;* #,##0.00_);_(&quot;$&quot;* \(#,##0.00\);_(&quot;$&quot;* &quot;-&quot;??_);_(@_)"/>
  </numFmts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b/>
      <sz val="13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vertical="top"/>
    </xf>
    <xf borderId="2" fillId="0" fontId="1" numFmtId="0" xfId="0" applyAlignment="1" applyBorder="1" applyFont="1">
      <alignment horizontal="left" readingOrder="0" shrinkToFit="0" wrapText="1"/>
    </xf>
    <xf borderId="3" fillId="0" fontId="2" numFmtId="0" xfId="0" applyBorder="1" applyFont="1"/>
    <xf borderId="0" fillId="0" fontId="1" numFmtId="0" xfId="0" applyAlignment="1" applyFont="1">
      <alignment horizontal="left"/>
    </xf>
    <xf borderId="2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 vertical="top"/>
    </xf>
    <xf borderId="1" fillId="0" fontId="3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Font="1" applyNumberFormat="1"/>
    <xf borderId="0" fillId="2" fontId="1" numFmtId="0" xfId="0" applyAlignment="1" applyFill="1" applyFont="1">
      <alignment readingOrder="0"/>
    </xf>
    <xf borderId="0" fillId="2" fontId="1" numFmtId="3" xfId="0" applyAlignment="1" applyFont="1" applyNumberFormat="1">
      <alignment readingOrder="0"/>
    </xf>
    <xf borderId="0" fillId="2" fontId="1" numFmtId="1" xfId="0" applyFont="1" applyNumberFormat="1"/>
    <xf borderId="0" fillId="2" fontId="1" numFmtId="166" xfId="0" applyFont="1" applyNumberFormat="1"/>
    <xf borderId="0" fillId="2" fontId="3" numFmtId="165" xfId="0" applyAlignment="1" applyFont="1" applyNumberFormat="1">
      <alignment readingOrder="0"/>
    </xf>
    <xf borderId="0" fillId="2" fontId="3" numFmtId="166" xfId="0" applyFont="1" applyNumberFormat="1"/>
    <xf borderId="0" fillId="0" fontId="1" numFmtId="4" xfId="0" applyFont="1" applyNumberFormat="1"/>
    <xf borderId="0" fillId="2" fontId="1" numFmtId="0" xfId="0" applyFont="1"/>
    <xf borderId="0" fillId="2" fontId="3" numFmtId="0" xfId="0" applyFont="1"/>
    <xf borderId="0" fillId="2" fontId="3" numFmtId="165" xfId="0" applyFont="1" applyNumberFormat="1"/>
    <xf borderId="0" fillId="0" fontId="3" numFmtId="0" xfId="0" applyFont="1"/>
    <xf borderId="0" fillId="0" fontId="3" numFmtId="166" xfId="0" applyFont="1" applyNumberFormat="1"/>
    <xf borderId="0" fillId="3" fontId="3" numFmtId="0" xfId="0" applyAlignment="1" applyFill="1" applyFont="1">
      <alignment readingOrder="0"/>
    </xf>
    <xf borderId="0" fillId="3" fontId="1" numFmtId="0" xfId="0" applyFont="1"/>
    <xf borderId="0" fillId="3" fontId="3" numFmtId="0" xfId="0" applyFont="1"/>
    <xf borderId="0" fillId="3" fontId="3" numFmtId="165" xfId="0" applyFont="1" applyNumberFormat="1"/>
    <xf borderId="0" fillId="3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2.75"/>
    <col customWidth="1" min="3" max="3" width="61.75"/>
    <col customWidth="1" min="4" max="4" width="43.88"/>
  </cols>
  <sheetData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9">
      <c r="A9" s="2">
        <v>1.0</v>
      </c>
      <c r="B9" s="2" t="s">
        <v>6</v>
      </c>
      <c r="C9" s="3" t="s">
        <v>7</v>
      </c>
      <c r="D9" s="4"/>
      <c r="E9" s="5"/>
      <c r="F9" s="5"/>
      <c r="G9" s="5"/>
      <c r="H9" s="5"/>
      <c r="I9" s="5"/>
      <c r="J9" s="5"/>
      <c r="K9" s="5"/>
    </row>
    <row r="10">
      <c r="A10" s="2">
        <v>2.0</v>
      </c>
      <c r="B10" s="2" t="s">
        <v>8</v>
      </c>
      <c r="C10" s="6" t="s">
        <v>9</v>
      </c>
      <c r="D10" s="4"/>
      <c r="E10" s="5"/>
      <c r="F10" s="5"/>
      <c r="G10" s="5"/>
      <c r="H10" s="5"/>
      <c r="I10" s="5"/>
      <c r="J10" s="5"/>
      <c r="K10" s="5"/>
    </row>
    <row r="11">
      <c r="A11" s="7">
        <v>3.1</v>
      </c>
      <c r="B11" s="7" t="s">
        <v>10</v>
      </c>
      <c r="C11" s="6" t="s">
        <v>11</v>
      </c>
      <c r="D11" s="4"/>
      <c r="E11" s="5"/>
      <c r="F11" s="5"/>
      <c r="G11" s="5"/>
      <c r="H11" s="5"/>
      <c r="I11" s="5"/>
      <c r="J11" s="5"/>
      <c r="K11" s="5"/>
    </row>
    <row r="12">
      <c r="A12" s="8">
        <v>3.2</v>
      </c>
      <c r="B12" s="8" t="s">
        <v>12</v>
      </c>
      <c r="C12" s="9" t="s">
        <v>13</v>
      </c>
      <c r="D12" s="4"/>
    </row>
    <row r="13">
      <c r="A13" s="8">
        <v>4.0</v>
      </c>
      <c r="B13" s="8" t="s">
        <v>14</v>
      </c>
      <c r="C13" s="9" t="s">
        <v>15</v>
      </c>
      <c r="D13" s="4"/>
    </row>
    <row r="14">
      <c r="A14" s="10">
        <v>5.0</v>
      </c>
      <c r="B14" s="10" t="s">
        <v>16</v>
      </c>
      <c r="C14" s="11" t="s">
        <v>17</v>
      </c>
      <c r="D14" s="11" t="s">
        <v>18</v>
      </c>
    </row>
    <row r="15">
      <c r="A15" s="12"/>
      <c r="B15" s="12"/>
      <c r="C15" s="8" t="s">
        <v>19</v>
      </c>
      <c r="D15" s="8" t="s">
        <v>20</v>
      </c>
    </row>
    <row r="16">
      <c r="A16" s="12"/>
      <c r="B16" s="12"/>
      <c r="C16" s="8" t="s">
        <v>21</v>
      </c>
      <c r="D16" s="8" t="s">
        <v>22</v>
      </c>
    </row>
    <row r="17">
      <c r="A17" s="12"/>
      <c r="B17" s="12"/>
      <c r="C17" s="8" t="s">
        <v>23</v>
      </c>
      <c r="D17" s="8" t="s">
        <v>24</v>
      </c>
    </row>
    <row r="18">
      <c r="A18" s="12"/>
      <c r="B18" s="12"/>
      <c r="C18" s="8" t="s">
        <v>25</v>
      </c>
      <c r="D18" s="8" t="s">
        <v>26</v>
      </c>
    </row>
    <row r="19">
      <c r="A19" s="12"/>
      <c r="B19" s="12"/>
      <c r="C19" s="8" t="s">
        <v>27</v>
      </c>
      <c r="D19" s="8" t="s">
        <v>28</v>
      </c>
    </row>
    <row r="20">
      <c r="A20" s="12"/>
      <c r="B20" s="12"/>
      <c r="C20" s="8" t="s">
        <v>29</v>
      </c>
      <c r="D20" s="8" t="s">
        <v>30</v>
      </c>
    </row>
    <row r="21">
      <c r="A21" s="13"/>
      <c r="B21" s="13"/>
      <c r="C21" s="8" t="s">
        <v>31</v>
      </c>
      <c r="D21" s="8" t="s">
        <v>32</v>
      </c>
    </row>
    <row r="22">
      <c r="A22" s="2">
        <v>6.0</v>
      </c>
      <c r="B22" s="2" t="s">
        <v>33</v>
      </c>
      <c r="C22" s="9" t="s">
        <v>34</v>
      </c>
      <c r="D22" s="4"/>
    </row>
    <row r="23">
      <c r="A23" s="2">
        <v>7.0</v>
      </c>
      <c r="B23" s="2" t="s">
        <v>35</v>
      </c>
      <c r="C23" s="9" t="s">
        <v>36</v>
      </c>
      <c r="D23" s="4"/>
    </row>
    <row r="24">
      <c r="A24" s="10">
        <v>8.0</v>
      </c>
      <c r="B24" s="10" t="s">
        <v>37</v>
      </c>
      <c r="C24" s="14" t="s">
        <v>38</v>
      </c>
      <c r="D24" s="15" t="s">
        <v>39</v>
      </c>
    </row>
    <row r="25">
      <c r="A25" s="13"/>
      <c r="B25" s="13"/>
      <c r="C25" s="8" t="s">
        <v>40</v>
      </c>
      <c r="D25" s="8" t="s">
        <v>41</v>
      </c>
    </row>
  </sheetData>
  <mergeCells count="11">
    <mergeCell ref="C22:D22"/>
    <mergeCell ref="C23:D23"/>
    <mergeCell ref="A24:A25"/>
    <mergeCell ref="B24:B25"/>
    <mergeCell ref="C9:D9"/>
    <mergeCell ref="C10:D10"/>
    <mergeCell ref="C11:D11"/>
    <mergeCell ref="C12:D12"/>
    <mergeCell ref="C13:D13"/>
    <mergeCell ref="A14:A21"/>
    <mergeCell ref="B14:B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88"/>
    <col customWidth="1" min="2" max="2" width="67.75"/>
    <col customWidth="1" min="3" max="3" width="42.75"/>
  </cols>
  <sheetData>
    <row r="3">
      <c r="A3" s="16" t="s">
        <v>42</v>
      </c>
    </row>
    <row r="4">
      <c r="A4" s="1" t="s">
        <v>43</v>
      </c>
    </row>
    <row r="5">
      <c r="A5" s="15" t="s">
        <v>44</v>
      </c>
      <c r="B5" s="15" t="s">
        <v>45</v>
      </c>
      <c r="C5" s="15" t="s">
        <v>46</v>
      </c>
    </row>
    <row r="6">
      <c r="A6" s="8" t="s">
        <v>47</v>
      </c>
      <c r="B6" s="8" t="s">
        <v>48</v>
      </c>
      <c r="C6" s="8" t="s">
        <v>49</v>
      </c>
    </row>
    <row r="7">
      <c r="A7" s="15" t="s">
        <v>50</v>
      </c>
      <c r="B7" s="15" t="s">
        <v>51</v>
      </c>
      <c r="C7" s="15" t="s">
        <v>52</v>
      </c>
    </row>
    <row r="8">
      <c r="A8" s="8" t="s">
        <v>53</v>
      </c>
      <c r="B8" s="8" t="s">
        <v>54</v>
      </c>
      <c r="C8" s="8" t="s">
        <v>55</v>
      </c>
    </row>
    <row r="9">
      <c r="A9" s="15" t="s">
        <v>56</v>
      </c>
      <c r="B9" s="15" t="s">
        <v>57</v>
      </c>
      <c r="C9" s="15" t="s">
        <v>58</v>
      </c>
    </row>
    <row r="10">
      <c r="A10" s="8" t="s">
        <v>59</v>
      </c>
      <c r="B10" s="8" t="s">
        <v>60</v>
      </c>
      <c r="C10" s="1" t="s">
        <v>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2.5"/>
    <col customWidth="1" min="3" max="3" width="34.25"/>
    <col customWidth="1" min="4" max="4" width="38.5"/>
    <col customWidth="1" min="5" max="5" width="21.88"/>
    <col customWidth="1" min="6" max="6" width="22.13"/>
    <col customWidth="1" min="7" max="7" width="24.88"/>
  </cols>
  <sheetData>
    <row r="2">
      <c r="A2" s="1" t="s">
        <v>62</v>
      </c>
      <c r="B2" s="14"/>
      <c r="C2" s="14"/>
      <c r="D2" s="14"/>
      <c r="E2" s="14"/>
      <c r="F2" s="14" t="s">
        <v>63</v>
      </c>
      <c r="G2" s="14" t="s">
        <v>64</v>
      </c>
    </row>
    <row r="3">
      <c r="F3" s="1" t="s">
        <v>65</v>
      </c>
      <c r="G3" s="1" t="s">
        <v>66</v>
      </c>
    </row>
    <row r="4">
      <c r="A4" s="1" t="s">
        <v>67</v>
      </c>
      <c r="F4" s="1" t="s">
        <v>68</v>
      </c>
      <c r="G4" s="1" t="s">
        <v>69</v>
      </c>
    </row>
    <row r="5">
      <c r="A5" s="1" t="s">
        <v>70</v>
      </c>
      <c r="F5" s="1" t="s">
        <v>71</v>
      </c>
      <c r="G5" s="1" t="s">
        <v>72</v>
      </c>
    </row>
    <row r="6">
      <c r="A6" s="1" t="s">
        <v>73</v>
      </c>
      <c r="F6" s="1" t="s">
        <v>74</v>
      </c>
      <c r="G6" s="1" t="s">
        <v>75</v>
      </c>
    </row>
    <row r="7">
      <c r="F7" s="1" t="s">
        <v>76</v>
      </c>
      <c r="G7" s="1" t="s">
        <v>77</v>
      </c>
    </row>
    <row r="8">
      <c r="A8" s="14" t="s">
        <v>78</v>
      </c>
      <c r="B8" s="14" t="s">
        <v>79</v>
      </c>
      <c r="C8" s="14" t="s">
        <v>80</v>
      </c>
      <c r="D8" s="14" t="s">
        <v>81</v>
      </c>
      <c r="E8" s="14" t="s">
        <v>82</v>
      </c>
    </row>
    <row r="9">
      <c r="A9" s="1">
        <v>1.0</v>
      </c>
      <c r="B9" s="1" t="s">
        <v>83</v>
      </c>
      <c r="C9" s="1" t="s">
        <v>84</v>
      </c>
      <c r="D9" s="1" t="s">
        <v>85</v>
      </c>
      <c r="E9" s="1" t="s">
        <v>86</v>
      </c>
    </row>
    <row r="10">
      <c r="A10" s="1">
        <v>2.0</v>
      </c>
      <c r="B10" s="1" t="s">
        <v>87</v>
      </c>
      <c r="C10" s="1" t="s">
        <v>88</v>
      </c>
      <c r="D10" s="1" t="s">
        <v>89</v>
      </c>
      <c r="E10" s="1" t="s">
        <v>90</v>
      </c>
    </row>
    <row r="11">
      <c r="A11" s="1">
        <v>3.0</v>
      </c>
      <c r="B11" s="1" t="s">
        <v>91</v>
      </c>
      <c r="C11" s="1" t="s">
        <v>92</v>
      </c>
      <c r="D11" s="1" t="s">
        <v>93</v>
      </c>
      <c r="E11" s="1" t="s">
        <v>94</v>
      </c>
    </row>
    <row r="12">
      <c r="A12" s="1">
        <v>4.0</v>
      </c>
      <c r="B12" s="1" t="s">
        <v>95</v>
      </c>
      <c r="C12" s="1" t="s">
        <v>96</v>
      </c>
      <c r="D12" s="1" t="s">
        <v>97</v>
      </c>
      <c r="E12" s="1" t="s">
        <v>98</v>
      </c>
    </row>
    <row r="13">
      <c r="A13" s="1">
        <v>5.0</v>
      </c>
      <c r="B13" s="1" t="s">
        <v>99</v>
      </c>
      <c r="C13" s="1" t="s">
        <v>100</v>
      </c>
      <c r="D13" s="1" t="s">
        <v>101</v>
      </c>
      <c r="E13" s="1" t="s">
        <v>102</v>
      </c>
    </row>
    <row r="14">
      <c r="A14" s="1">
        <v>6.0</v>
      </c>
      <c r="B14" s="1" t="s">
        <v>103</v>
      </c>
      <c r="C14" s="1" t="s">
        <v>104</v>
      </c>
      <c r="D14" s="1" t="s">
        <v>105</v>
      </c>
      <c r="E14" s="1" t="s">
        <v>106</v>
      </c>
    </row>
    <row r="15">
      <c r="A15" s="1">
        <v>7.0</v>
      </c>
      <c r="B15" s="1" t="s">
        <v>107</v>
      </c>
      <c r="C15" s="1" t="s">
        <v>108</v>
      </c>
      <c r="D15" s="1" t="s">
        <v>109</v>
      </c>
      <c r="E15" s="1" t="s">
        <v>110</v>
      </c>
    </row>
    <row r="17">
      <c r="B17" s="17" t="s">
        <v>111</v>
      </c>
    </row>
    <row r="18">
      <c r="A18" s="1">
        <v>1.0</v>
      </c>
      <c r="B18" s="18" t="s">
        <v>83</v>
      </c>
      <c r="C18" s="1" t="s">
        <v>112</v>
      </c>
    </row>
    <row r="19">
      <c r="A19" s="1">
        <v>2.0</v>
      </c>
      <c r="B19" s="1" t="s">
        <v>87</v>
      </c>
      <c r="C19" s="1" t="s">
        <v>113</v>
      </c>
    </row>
    <row r="20">
      <c r="A20" s="1">
        <v>3.0</v>
      </c>
      <c r="B20" s="1" t="s">
        <v>91</v>
      </c>
      <c r="C20" s="1" t="s">
        <v>114</v>
      </c>
    </row>
    <row r="21">
      <c r="A21" s="1">
        <v>4.0</v>
      </c>
      <c r="B21" s="1" t="s">
        <v>95</v>
      </c>
      <c r="C21" s="1" t="s">
        <v>115</v>
      </c>
    </row>
    <row r="22">
      <c r="A22" s="1">
        <v>5.0</v>
      </c>
      <c r="B22" s="1" t="s">
        <v>99</v>
      </c>
      <c r="C22" s="1" t="s">
        <v>116</v>
      </c>
    </row>
    <row r="23">
      <c r="A23" s="1">
        <v>6.0</v>
      </c>
      <c r="B23" s="1" t="s">
        <v>103</v>
      </c>
      <c r="C23" s="1" t="s">
        <v>117</v>
      </c>
    </row>
    <row r="24">
      <c r="A24" s="1">
        <v>7.0</v>
      </c>
      <c r="B24" s="1" t="s">
        <v>107</v>
      </c>
      <c r="C24" s="1" t="s">
        <v>118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8.63"/>
    <col customWidth="1" min="3" max="3" width="20.5"/>
    <col customWidth="1" min="4" max="5" width="33.25"/>
  </cols>
  <sheetData>
    <row r="2">
      <c r="A2" s="14" t="s">
        <v>78</v>
      </c>
      <c r="B2" s="14" t="s">
        <v>79</v>
      </c>
      <c r="C2" s="14" t="s">
        <v>119</v>
      </c>
      <c r="D2" s="14" t="s">
        <v>120</v>
      </c>
      <c r="E2" s="14" t="s">
        <v>121</v>
      </c>
    </row>
    <row r="3">
      <c r="A3" s="1">
        <v>1.0</v>
      </c>
      <c r="B3" s="1" t="s">
        <v>83</v>
      </c>
      <c r="C3" s="1" t="s">
        <v>122</v>
      </c>
      <c r="D3" s="1" t="s">
        <v>123</v>
      </c>
      <c r="E3" s="1" t="s">
        <v>124</v>
      </c>
    </row>
    <row r="4">
      <c r="A4" s="1">
        <v>1.0</v>
      </c>
      <c r="B4" s="1" t="s">
        <v>83</v>
      </c>
      <c r="C4" s="1" t="s">
        <v>122</v>
      </c>
      <c r="D4" s="1" t="s">
        <v>125</v>
      </c>
      <c r="E4" s="1" t="s">
        <v>124</v>
      </c>
    </row>
    <row r="5">
      <c r="A5" s="1">
        <v>1.0</v>
      </c>
      <c r="B5" s="1" t="s">
        <v>83</v>
      </c>
      <c r="C5" s="1" t="s">
        <v>126</v>
      </c>
      <c r="D5" s="1" t="s">
        <v>127</v>
      </c>
      <c r="E5" s="1" t="s">
        <v>124</v>
      </c>
    </row>
    <row r="6">
      <c r="A6" s="1">
        <v>1.0</v>
      </c>
      <c r="B6" s="1" t="s">
        <v>83</v>
      </c>
      <c r="C6" s="1" t="s">
        <v>128</v>
      </c>
      <c r="D6" s="1" t="s">
        <v>129</v>
      </c>
      <c r="E6" s="1" t="s">
        <v>124</v>
      </c>
    </row>
    <row r="7">
      <c r="A7" s="1">
        <v>1.0</v>
      </c>
      <c r="B7" s="1" t="s">
        <v>83</v>
      </c>
      <c r="C7" s="1" t="s">
        <v>130</v>
      </c>
      <c r="D7" s="1" t="s">
        <v>131</v>
      </c>
      <c r="E7" s="1" t="s">
        <v>124</v>
      </c>
    </row>
    <row r="8">
      <c r="A8" s="1">
        <v>2.0</v>
      </c>
      <c r="B8" s="1" t="s">
        <v>87</v>
      </c>
      <c r="C8" s="1" t="s">
        <v>132</v>
      </c>
      <c r="D8" s="1" t="s">
        <v>133</v>
      </c>
      <c r="E8" s="1" t="s">
        <v>134</v>
      </c>
    </row>
    <row r="9">
      <c r="A9" s="1">
        <v>2.0</v>
      </c>
      <c r="B9" s="1" t="s">
        <v>87</v>
      </c>
      <c r="C9" s="1" t="s">
        <v>132</v>
      </c>
      <c r="D9" s="1" t="s">
        <v>135</v>
      </c>
      <c r="E9" s="1" t="s">
        <v>134</v>
      </c>
    </row>
    <row r="10">
      <c r="A10" s="1">
        <v>2.0</v>
      </c>
      <c r="B10" s="1" t="s">
        <v>87</v>
      </c>
      <c r="C10" s="1" t="s">
        <v>136</v>
      </c>
      <c r="D10" s="1" t="s">
        <v>137</v>
      </c>
      <c r="E10" s="1" t="s">
        <v>134</v>
      </c>
    </row>
    <row r="11">
      <c r="A11" s="1">
        <v>2.0</v>
      </c>
      <c r="B11" s="1" t="s">
        <v>87</v>
      </c>
      <c r="C11" s="1" t="s">
        <v>136</v>
      </c>
      <c r="D11" s="1" t="s">
        <v>138</v>
      </c>
      <c r="E11" s="1" t="s">
        <v>134</v>
      </c>
    </row>
    <row r="12">
      <c r="A12" s="1">
        <v>2.0</v>
      </c>
      <c r="B12" s="1" t="s">
        <v>87</v>
      </c>
      <c r="C12" s="1" t="s">
        <v>139</v>
      </c>
      <c r="D12" s="1" t="s">
        <v>140</v>
      </c>
      <c r="E12" s="1" t="s">
        <v>124</v>
      </c>
    </row>
    <row r="13">
      <c r="A13" s="1">
        <v>2.0</v>
      </c>
      <c r="B13" s="1" t="s">
        <v>87</v>
      </c>
      <c r="C13" s="1" t="s">
        <v>141</v>
      </c>
      <c r="D13" s="1" t="s">
        <v>142</v>
      </c>
      <c r="E13" s="1" t="s">
        <v>134</v>
      </c>
    </row>
    <row r="14">
      <c r="A14" s="1">
        <v>2.0</v>
      </c>
      <c r="B14" s="1" t="s">
        <v>87</v>
      </c>
      <c r="C14" s="1" t="s">
        <v>143</v>
      </c>
      <c r="D14" s="1" t="s">
        <v>144</v>
      </c>
      <c r="E14" s="1" t="s">
        <v>124</v>
      </c>
    </row>
    <row r="15">
      <c r="A15" s="1">
        <v>3.0</v>
      </c>
      <c r="B15" s="1" t="s">
        <v>91</v>
      </c>
      <c r="C15" s="1" t="s">
        <v>145</v>
      </c>
      <c r="D15" s="1" t="s">
        <v>146</v>
      </c>
      <c r="E15" s="1" t="s">
        <v>25</v>
      </c>
    </row>
    <row r="16">
      <c r="A16" s="1">
        <v>3.0</v>
      </c>
      <c r="B16" s="1" t="s">
        <v>91</v>
      </c>
      <c r="C16" s="1" t="s">
        <v>145</v>
      </c>
      <c r="D16" s="1" t="s">
        <v>147</v>
      </c>
      <c r="E16" s="1" t="s">
        <v>25</v>
      </c>
    </row>
    <row r="17">
      <c r="A17" s="1">
        <v>3.0</v>
      </c>
      <c r="B17" s="1" t="s">
        <v>91</v>
      </c>
      <c r="C17" s="1" t="s">
        <v>148</v>
      </c>
      <c r="D17" s="1" t="s">
        <v>149</v>
      </c>
      <c r="E17" s="1" t="s">
        <v>150</v>
      </c>
    </row>
    <row r="18">
      <c r="A18" s="1">
        <v>3.0</v>
      </c>
      <c r="B18" s="1" t="s">
        <v>91</v>
      </c>
      <c r="C18" s="1" t="s">
        <v>148</v>
      </c>
      <c r="D18" s="1" t="s">
        <v>151</v>
      </c>
      <c r="E18" s="1" t="s">
        <v>124</v>
      </c>
    </row>
    <row r="19">
      <c r="A19" s="1">
        <v>3.0</v>
      </c>
      <c r="B19" s="1" t="s">
        <v>91</v>
      </c>
      <c r="C19" s="1" t="s">
        <v>152</v>
      </c>
      <c r="D19" s="1" t="s">
        <v>153</v>
      </c>
      <c r="E19" s="1" t="s">
        <v>25</v>
      </c>
    </row>
    <row r="20">
      <c r="A20" s="1">
        <v>3.0</v>
      </c>
      <c r="B20" s="1" t="s">
        <v>91</v>
      </c>
      <c r="C20" s="1" t="s">
        <v>141</v>
      </c>
      <c r="D20" s="1" t="s">
        <v>154</v>
      </c>
      <c r="E20" s="1" t="s">
        <v>25</v>
      </c>
    </row>
    <row r="21">
      <c r="A21" s="1">
        <v>4.0</v>
      </c>
      <c r="B21" s="1" t="s">
        <v>95</v>
      </c>
      <c r="C21" s="1" t="s">
        <v>155</v>
      </c>
      <c r="D21" s="1" t="s">
        <v>156</v>
      </c>
      <c r="E21" s="1" t="s">
        <v>157</v>
      </c>
    </row>
    <row r="22">
      <c r="A22" s="1">
        <v>4.0</v>
      </c>
      <c r="B22" s="1" t="s">
        <v>95</v>
      </c>
      <c r="C22" s="1" t="s">
        <v>155</v>
      </c>
      <c r="D22" s="1" t="s">
        <v>158</v>
      </c>
      <c r="E22" s="1" t="s">
        <v>157</v>
      </c>
    </row>
    <row r="23">
      <c r="A23" s="1">
        <v>4.0</v>
      </c>
      <c r="B23" s="1" t="s">
        <v>95</v>
      </c>
      <c r="C23" s="1" t="s">
        <v>159</v>
      </c>
      <c r="D23" s="1" t="s">
        <v>160</v>
      </c>
      <c r="E23" s="1" t="s">
        <v>161</v>
      </c>
    </row>
    <row r="24">
      <c r="A24" s="1">
        <v>4.0</v>
      </c>
      <c r="B24" s="1" t="s">
        <v>95</v>
      </c>
      <c r="C24" s="1" t="s">
        <v>152</v>
      </c>
      <c r="D24" s="1" t="s">
        <v>162</v>
      </c>
      <c r="E24" s="1" t="s">
        <v>157</v>
      </c>
    </row>
    <row r="25">
      <c r="A25" s="1">
        <v>4.0</v>
      </c>
      <c r="B25" s="1" t="s">
        <v>95</v>
      </c>
      <c r="C25" s="1" t="s">
        <v>163</v>
      </c>
      <c r="D25" s="1" t="s">
        <v>164</v>
      </c>
      <c r="E25" s="1" t="s">
        <v>165</v>
      </c>
    </row>
    <row r="26">
      <c r="A26" s="1">
        <v>4.0</v>
      </c>
      <c r="B26" s="1" t="s">
        <v>95</v>
      </c>
      <c r="C26" s="1" t="s">
        <v>166</v>
      </c>
      <c r="D26" s="1" t="s">
        <v>167</v>
      </c>
      <c r="E26" s="1" t="s">
        <v>29</v>
      </c>
    </row>
    <row r="27">
      <c r="A27" s="1">
        <v>4.0</v>
      </c>
      <c r="B27" s="1" t="s">
        <v>95</v>
      </c>
      <c r="C27" s="1" t="s">
        <v>141</v>
      </c>
      <c r="D27" s="1" t="s">
        <v>168</v>
      </c>
      <c r="E27" s="1" t="s">
        <v>169</v>
      </c>
    </row>
    <row r="28">
      <c r="A28" s="1">
        <v>5.0</v>
      </c>
      <c r="B28" s="1" t="s">
        <v>99</v>
      </c>
      <c r="C28" s="1" t="s">
        <v>170</v>
      </c>
      <c r="D28" s="1" t="s">
        <v>171</v>
      </c>
      <c r="E28" s="1" t="s">
        <v>29</v>
      </c>
    </row>
    <row r="29">
      <c r="A29" s="1">
        <v>5.0</v>
      </c>
      <c r="B29" s="1" t="s">
        <v>99</v>
      </c>
      <c r="C29" s="1" t="s">
        <v>172</v>
      </c>
      <c r="D29" s="1" t="s">
        <v>173</v>
      </c>
      <c r="E29" s="1" t="s">
        <v>29</v>
      </c>
    </row>
    <row r="30">
      <c r="A30" s="1">
        <v>5.0</v>
      </c>
      <c r="B30" s="1" t="s">
        <v>99</v>
      </c>
      <c r="C30" s="1" t="s">
        <v>172</v>
      </c>
      <c r="D30" s="1" t="s">
        <v>174</v>
      </c>
      <c r="E30" s="1" t="s">
        <v>124</v>
      </c>
    </row>
    <row r="31">
      <c r="A31" s="1">
        <v>5.0</v>
      </c>
      <c r="B31" s="1" t="s">
        <v>99</v>
      </c>
      <c r="C31" s="1" t="s">
        <v>175</v>
      </c>
      <c r="D31" s="1" t="s">
        <v>176</v>
      </c>
      <c r="E31" s="1" t="s">
        <v>177</v>
      </c>
    </row>
    <row r="32">
      <c r="A32" s="1">
        <v>5.0</v>
      </c>
      <c r="B32" s="1" t="s">
        <v>99</v>
      </c>
      <c r="C32" s="1" t="s">
        <v>178</v>
      </c>
      <c r="D32" s="1" t="s">
        <v>179</v>
      </c>
      <c r="E32" s="1" t="s">
        <v>29</v>
      </c>
    </row>
    <row r="33">
      <c r="A33" s="1">
        <v>6.0</v>
      </c>
      <c r="B33" s="1" t="s">
        <v>103</v>
      </c>
      <c r="C33" s="1" t="s">
        <v>180</v>
      </c>
      <c r="D33" s="1" t="s">
        <v>181</v>
      </c>
      <c r="E33" s="1" t="s">
        <v>182</v>
      </c>
    </row>
    <row r="34">
      <c r="A34" s="1">
        <v>6.0</v>
      </c>
      <c r="B34" s="1" t="s">
        <v>103</v>
      </c>
      <c r="C34" s="1" t="s">
        <v>103</v>
      </c>
      <c r="D34" s="1" t="s">
        <v>183</v>
      </c>
      <c r="E34" s="1" t="s">
        <v>182</v>
      </c>
    </row>
    <row r="35">
      <c r="A35" s="1">
        <v>6.0</v>
      </c>
      <c r="B35" s="1" t="s">
        <v>103</v>
      </c>
      <c r="C35" s="1" t="s">
        <v>163</v>
      </c>
      <c r="D35" s="1" t="s">
        <v>184</v>
      </c>
      <c r="E35" s="1" t="s">
        <v>165</v>
      </c>
    </row>
    <row r="36">
      <c r="A36" s="1">
        <v>6.0</v>
      </c>
      <c r="B36" s="1" t="s">
        <v>103</v>
      </c>
      <c r="C36" s="1" t="s">
        <v>185</v>
      </c>
      <c r="D36" s="1" t="s">
        <v>186</v>
      </c>
      <c r="E36" s="1" t="s">
        <v>124</v>
      </c>
    </row>
    <row r="37">
      <c r="A37" s="1">
        <v>6.0</v>
      </c>
      <c r="B37" s="1" t="s">
        <v>103</v>
      </c>
      <c r="C37" s="1" t="s">
        <v>187</v>
      </c>
      <c r="D37" s="1" t="s">
        <v>188</v>
      </c>
      <c r="E37" s="1" t="s">
        <v>124</v>
      </c>
    </row>
    <row r="38">
      <c r="A38" s="1">
        <v>6.0</v>
      </c>
      <c r="B38" s="1" t="s">
        <v>103</v>
      </c>
      <c r="C38" s="1" t="s">
        <v>189</v>
      </c>
      <c r="D38" s="1" t="s">
        <v>190</v>
      </c>
      <c r="E38" s="1" t="s">
        <v>124</v>
      </c>
    </row>
    <row r="39">
      <c r="A39" s="1">
        <v>7.0</v>
      </c>
      <c r="B39" s="1" t="s">
        <v>107</v>
      </c>
      <c r="C39" s="1" t="s">
        <v>191</v>
      </c>
      <c r="D39" s="1" t="s">
        <v>192</v>
      </c>
      <c r="E39" s="1" t="s">
        <v>107</v>
      </c>
    </row>
    <row r="40">
      <c r="A40" s="1">
        <v>7.0</v>
      </c>
      <c r="B40" s="1" t="s">
        <v>107</v>
      </c>
      <c r="C40" s="1" t="s">
        <v>191</v>
      </c>
      <c r="D40" s="1" t="s">
        <v>193</v>
      </c>
      <c r="E40" s="1" t="s">
        <v>182</v>
      </c>
    </row>
    <row r="41">
      <c r="A41" s="1">
        <v>7.0</v>
      </c>
      <c r="B41" s="1" t="s">
        <v>107</v>
      </c>
      <c r="C41" s="1" t="s">
        <v>194</v>
      </c>
      <c r="D41" s="1" t="s">
        <v>195</v>
      </c>
      <c r="E41" s="1" t="s">
        <v>124</v>
      </c>
    </row>
    <row r="42">
      <c r="A42" s="1">
        <v>7.0</v>
      </c>
      <c r="B42" s="1" t="s">
        <v>107</v>
      </c>
      <c r="C42" s="1" t="s">
        <v>194</v>
      </c>
      <c r="D42" s="1" t="s">
        <v>196</v>
      </c>
      <c r="E42" s="1" t="s">
        <v>124</v>
      </c>
    </row>
    <row r="43">
      <c r="A43" s="1">
        <v>7.0</v>
      </c>
      <c r="B43" s="1" t="s">
        <v>107</v>
      </c>
      <c r="C43" s="1" t="s">
        <v>141</v>
      </c>
      <c r="D43" s="1" t="s">
        <v>197</v>
      </c>
      <c r="E43" s="1" t="s">
        <v>169</v>
      </c>
    </row>
  </sheetData>
  <autoFilter ref="$A$2:$AA$4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13"/>
    <col customWidth="1" min="3" max="3" width="26.38"/>
    <col customWidth="1" min="4" max="4" width="16.88"/>
    <col customWidth="1" min="5" max="5" width="15.25"/>
    <col customWidth="1" min="6" max="6" width="15.75"/>
    <col customWidth="1" min="7" max="7" width="18.25"/>
  </cols>
  <sheetData>
    <row r="2">
      <c r="A2" s="14"/>
      <c r="B2" s="14" t="s">
        <v>79</v>
      </c>
      <c r="C2" s="14" t="s">
        <v>119</v>
      </c>
      <c r="D2" s="14" t="s">
        <v>121</v>
      </c>
      <c r="E2" s="14" t="s">
        <v>198</v>
      </c>
      <c r="F2" s="14" t="s">
        <v>199</v>
      </c>
      <c r="G2" s="14" t="s">
        <v>200</v>
      </c>
    </row>
    <row r="3">
      <c r="A3" s="1">
        <v>1.0</v>
      </c>
      <c r="B3" s="1" t="s">
        <v>83</v>
      </c>
      <c r="C3" s="1" t="s">
        <v>201</v>
      </c>
      <c r="D3" s="1" t="s">
        <v>124</v>
      </c>
      <c r="E3" s="1">
        <v>1.01</v>
      </c>
      <c r="F3" s="1">
        <v>5.01</v>
      </c>
      <c r="G3" s="1">
        <v>5.0</v>
      </c>
    </row>
    <row r="4">
      <c r="A4" s="1">
        <v>1.0</v>
      </c>
      <c r="B4" s="1" t="s">
        <v>83</v>
      </c>
      <c r="C4" s="1" t="s">
        <v>202</v>
      </c>
      <c r="D4" s="1" t="s">
        <v>124</v>
      </c>
      <c r="E4" s="1">
        <v>3.01</v>
      </c>
      <c r="F4" s="1">
        <v>7.01</v>
      </c>
      <c r="G4" s="1">
        <v>5.0</v>
      </c>
    </row>
    <row r="5">
      <c r="A5" s="1">
        <v>1.0</v>
      </c>
      <c r="B5" s="1" t="s">
        <v>83</v>
      </c>
      <c r="C5" s="1" t="s">
        <v>203</v>
      </c>
      <c r="D5" s="1" t="s">
        <v>124</v>
      </c>
      <c r="E5" s="1">
        <v>6.01</v>
      </c>
      <c r="F5" s="1">
        <v>15.01</v>
      </c>
      <c r="G5" s="1">
        <v>10.0</v>
      </c>
    </row>
    <row r="6">
      <c r="A6" s="1">
        <v>1.0</v>
      </c>
      <c r="B6" s="1" t="s">
        <v>83</v>
      </c>
      <c r="C6" s="1" t="s">
        <v>204</v>
      </c>
      <c r="D6" s="1" t="s">
        <v>124</v>
      </c>
      <c r="E6" s="1">
        <v>10.01</v>
      </c>
      <c r="F6" s="1">
        <v>20.01</v>
      </c>
      <c r="G6" s="1">
        <v>11.0</v>
      </c>
    </row>
    <row r="7">
      <c r="A7" s="1">
        <v>2.0</v>
      </c>
      <c r="B7" s="1" t="s">
        <v>87</v>
      </c>
      <c r="C7" s="1" t="s">
        <v>132</v>
      </c>
      <c r="D7" s="1" t="s">
        <v>134</v>
      </c>
      <c r="E7" s="1">
        <v>16.01</v>
      </c>
      <c r="F7" s="1">
        <v>31.01</v>
      </c>
      <c r="G7" s="1">
        <v>16.0</v>
      </c>
    </row>
    <row r="8">
      <c r="A8" s="1">
        <v>2.0</v>
      </c>
      <c r="B8" s="1" t="s">
        <v>87</v>
      </c>
      <c r="C8" s="1" t="s">
        <v>205</v>
      </c>
      <c r="D8" s="1" t="s">
        <v>134</v>
      </c>
      <c r="E8" s="1">
        <v>20.01</v>
      </c>
      <c r="F8" s="1">
        <v>10.02</v>
      </c>
      <c r="G8" s="1">
        <v>22.0</v>
      </c>
    </row>
    <row r="9">
      <c r="A9" s="1">
        <v>2.0</v>
      </c>
      <c r="B9" s="1" t="s">
        <v>87</v>
      </c>
      <c r="C9" s="1" t="s">
        <v>206</v>
      </c>
      <c r="D9" s="1" t="s">
        <v>124</v>
      </c>
      <c r="E9" s="1">
        <v>20.01</v>
      </c>
      <c r="F9" s="1">
        <v>5.02</v>
      </c>
      <c r="G9" s="1">
        <v>17.0</v>
      </c>
    </row>
    <row r="10">
      <c r="A10" s="1">
        <v>2.0</v>
      </c>
      <c r="B10" s="1" t="s">
        <v>87</v>
      </c>
      <c r="C10" s="1" t="s">
        <v>207</v>
      </c>
      <c r="D10" s="1" t="s">
        <v>134</v>
      </c>
      <c r="E10" s="1">
        <v>1.02</v>
      </c>
      <c r="F10" s="1">
        <v>15.02</v>
      </c>
      <c r="G10" s="1">
        <v>15.0</v>
      </c>
    </row>
    <row r="11">
      <c r="A11" s="1">
        <v>2.0</v>
      </c>
      <c r="B11" s="1" t="s">
        <v>87</v>
      </c>
      <c r="C11" s="1" t="s">
        <v>208</v>
      </c>
      <c r="D11" s="1" t="s">
        <v>124</v>
      </c>
      <c r="E11" s="1">
        <v>10.02</v>
      </c>
      <c r="F11" s="1">
        <v>20.02</v>
      </c>
      <c r="G11" s="1">
        <v>11.0</v>
      </c>
    </row>
    <row r="12">
      <c r="A12" s="1">
        <v>3.0</v>
      </c>
      <c r="B12" s="1" t="s">
        <v>91</v>
      </c>
      <c r="C12" s="1" t="s">
        <v>209</v>
      </c>
      <c r="D12" s="1" t="s">
        <v>25</v>
      </c>
      <c r="E12" s="1">
        <v>21.02</v>
      </c>
      <c r="F12" s="1">
        <v>5.03</v>
      </c>
      <c r="G12" s="1">
        <v>13.0</v>
      </c>
    </row>
    <row r="13">
      <c r="A13" s="1">
        <v>3.0</v>
      </c>
      <c r="B13" s="1" t="s">
        <v>91</v>
      </c>
      <c r="C13" s="1" t="s">
        <v>210</v>
      </c>
      <c r="D13" s="1" t="s">
        <v>150</v>
      </c>
      <c r="E13" s="1">
        <v>25.02</v>
      </c>
      <c r="F13" s="1">
        <v>10.03</v>
      </c>
      <c r="G13" s="1">
        <v>14.0</v>
      </c>
    </row>
    <row r="14">
      <c r="A14" s="1">
        <v>3.0</v>
      </c>
      <c r="B14" s="1" t="s">
        <v>91</v>
      </c>
      <c r="C14" s="1" t="s">
        <v>211</v>
      </c>
      <c r="D14" s="1" t="s">
        <v>25</v>
      </c>
      <c r="E14" s="1">
        <v>1.03</v>
      </c>
      <c r="F14" s="1">
        <v>15.03</v>
      </c>
      <c r="G14" s="1">
        <v>15.0</v>
      </c>
    </row>
    <row r="15">
      <c r="A15" s="1">
        <v>3.0</v>
      </c>
      <c r="B15" s="1" t="s">
        <v>91</v>
      </c>
      <c r="C15" s="1" t="s">
        <v>212</v>
      </c>
      <c r="D15" s="1" t="s">
        <v>25</v>
      </c>
      <c r="E15" s="1">
        <v>10.03</v>
      </c>
      <c r="F15" s="1">
        <v>20.03</v>
      </c>
      <c r="G15" s="1">
        <v>11.0</v>
      </c>
    </row>
    <row r="16">
      <c r="A16" s="1">
        <v>4.0</v>
      </c>
      <c r="B16" s="1" t="s">
        <v>95</v>
      </c>
      <c r="C16" s="1" t="s">
        <v>213</v>
      </c>
      <c r="D16" s="1" t="s">
        <v>157</v>
      </c>
      <c r="E16" s="1">
        <v>21.03</v>
      </c>
      <c r="F16" s="1">
        <v>31.05</v>
      </c>
      <c r="G16" s="1">
        <v>72.0</v>
      </c>
    </row>
    <row r="17">
      <c r="A17" s="1">
        <v>4.0</v>
      </c>
      <c r="B17" s="1" t="s">
        <v>95</v>
      </c>
      <c r="C17" s="1" t="s">
        <v>159</v>
      </c>
      <c r="D17" s="1" t="s">
        <v>161</v>
      </c>
      <c r="E17" s="1">
        <v>1.04</v>
      </c>
      <c r="F17" s="1">
        <v>31.05</v>
      </c>
      <c r="G17" s="1">
        <v>61.0</v>
      </c>
    </row>
    <row r="18">
      <c r="A18" s="1">
        <v>4.0</v>
      </c>
      <c r="B18" s="1" t="s">
        <v>95</v>
      </c>
      <c r="C18" s="1" t="s">
        <v>152</v>
      </c>
      <c r="D18" s="1" t="s">
        <v>157</v>
      </c>
      <c r="E18" s="1">
        <v>10.04</v>
      </c>
      <c r="F18" s="1">
        <v>10.06</v>
      </c>
      <c r="G18" s="1">
        <v>62.0</v>
      </c>
    </row>
    <row r="19">
      <c r="A19" s="1">
        <v>4.0</v>
      </c>
      <c r="B19" s="1" t="s">
        <v>95</v>
      </c>
      <c r="C19" s="1" t="s">
        <v>214</v>
      </c>
      <c r="D19" s="1" t="s">
        <v>165</v>
      </c>
      <c r="E19" s="1">
        <v>1.04</v>
      </c>
      <c r="F19" s="1">
        <v>15.05</v>
      </c>
      <c r="G19" s="1">
        <v>45.0</v>
      </c>
    </row>
    <row r="20">
      <c r="A20" s="1">
        <v>4.0</v>
      </c>
      <c r="B20" s="1" t="s">
        <v>95</v>
      </c>
      <c r="C20" s="1" t="s">
        <v>215</v>
      </c>
      <c r="D20" s="1" t="s">
        <v>29</v>
      </c>
      <c r="E20" s="1">
        <v>15.04</v>
      </c>
      <c r="F20" s="1">
        <v>15.06</v>
      </c>
      <c r="G20" s="1">
        <v>62.0</v>
      </c>
    </row>
    <row r="21">
      <c r="A21" s="1">
        <v>5.0</v>
      </c>
      <c r="B21" s="1" t="s">
        <v>99</v>
      </c>
      <c r="C21" s="1" t="s">
        <v>216</v>
      </c>
      <c r="D21" s="1" t="s">
        <v>29</v>
      </c>
      <c r="E21" s="1">
        <v>16.06</v>
      </c>
      <c r="F21" s="1">
        <v>10.07</v>
      </c>
      <c r="G21" s="1">
        <v>25.0</v>
      </c>
    </row>
    <row r="22">
      <c r="A22" s="1">
        <v>5.0</v>
      </c>
      <c r="B22" s="1" t="s">
        <v>99</v>
      </c>
      <c r="C22" s="1" t="s">
        <v>172</v>
      </c>
      <c r="D22" s="1" t="s">
        <v>217</v>
      </c>
      <c r="E22" s="1">
        <v>5.07</v>
      </c>
      <c r="F22" s="1">
        <v>20.07</v>
      </c>
      <c r="G22" s="1">
        <v>16.0</v>
      </c>
    </row>
    <row r="23">
      <c r="A23" s="1">
        <v>5.0</v>
      </c>
      <c r="B23" s="1" t="s">
        <v>99</v>
      </c>
      <c r="C23" s="1" t="s">
        <v>218</v>
      </c>
      <c r="D23" s="1" t="s">
        <v>177</v>
      </c>
      <c r="E23" s="1">
        <v>10.07</v>
      </c>
      <c r="F23" s="1">
        <v>31.07</v>
      </c>
      <c r="G23" s="1">
        <v>22.0</v>
      </c>
    </row>
    <row r="24">
      <c r="A24" s="1">
        <v>5.0</v>
      </c>
      <c r="B24" s="1" t="s">
        <v>99</v>
      </c>
      <c r="C24" s="1" t="s">
        <v>219</v>
      </c>
      <c r="D24" s="1" t="s">
        <v>29</v>
      </c>
      <c r="E24" s="1">
        <v>20.07</v>
      </c>
      <c r="F24" s="1">
        <v>31.07</v>
      </c>
      <c r="G24" s="1">
        <v>12.0</v>
      </c>
    </row>
    <row r="25">
      <c r="A25" s="1">
        <v>6.0</v>
      </c>
      <c r="B25" s="1" t="s">
        <v>103</v>
      </c>
      <c r="C25" s="1" t="s">
        <v>220</v>
      </c>
      <c r="D25" s="1" t="s">
        <v>182</v>
      </c>
      <c r="E25" s="1">
        <v>1.08</v>
      </c>
      <c r="F25" s="1">
        <v>10.08</v>
      </c>
      <c r="G25" s="1">
        <v>10.0</v>
      </c>
    </row>
    <row r="26">
      <c r="A26" s="1">
        <v>6.0</v>
      </c>
      <c r="B26" s="1" t="s">
        <v>103</v>
      </c>
      <c r="C26" s="1" t="s">
        <v>221</v>
      </c>
      <c r="D26" s="1" t="s">
        <v>182</v>
      </c>
      <c r="E26" s="1">
        <v>11.08</v>
      </c>
      <c r="F26" s="1">
        <v>15.08</v>
      </c>
      <c r="G26" s="1">
        <v>5.0</v>
      </c>
    </row>
    <row r="27">
      <c r="A27" s="1">
        <v>6.0</v>
      </c>
      <c r="B27" s="1" t="s">
        <v>103</v>
      </c>
      <c r="C27" s="1" t="s">
        <v>222</v>
      </c>
      <c r="D27" s="1" t="s">
        <v>165</v>
      </c>
      <c r="E27" s="1">
        <v>10.08</v>
      </c>
      <c r="F27" s="1">
        <v>20.08</v>
      </c>
      <c r="G27" s="1">
        <v>11.0</v>
      </c>
    </row>
    <row r="28">
      <c r="A28" s="1">
        <v>6.0</v>
      </c>
      <c r="B28" s="1" t="s">
        <v>103</v>
      </c>
      <c r="C28" s="1" t="s">
        <v>223</v>
      </c>
      <c r="D28" s="1" t="s">
        <v>124</v>
      </c>
      <c r="E28" s="1">
        <v>15.08</v>
      </c>
      <c r="F28" s="1">
        <v>25.08</v>
      </c>
      <c r="G28" s="1">
        <v>11.0</v>
      </c>
    </row>
    <row r="29">
      <c r="A29" s="1">
        <v>6.0</v>
      </c>
      <c r="B29" s="1" t="s">
        <v>103</v>
      </c>
      <c r="C29" s="1" t="s">
        <v>224</v>
      </c>
      <c r="D29" s="1" t="s">
        <v>124</v>
      </c>
      <c r="E29" s="1">
        <v>26.08</v>
      </c>
      <c r="F29" s="1">
        <v>31.08</v>
      </c>
      <c r="G29" s="1">
        <v>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38"/>
    <col customWidth="1" min="3" max="3" width="37.63"/>
    <col customWidth="1" min="4" max="4" width="18.63"/>
    <col customWidth="1" min="5" max="5" width="17.88"/>
    <col customWidth="1" min="6" max="6" width="13.88"/>
  </cols>
  <sheetData>
    <row r="1" ht="46.5" customHeight="1">
      <c r="A1" s="19" t="s">
        <v>225</v>
      </c>
    </row>
    <row r="2">
      <c r="I2" s="20">
        <v>1.0</v>
      </c>
      <c r="J2" s="1">
        <v>90.0</v>
      </c>
    </row>
    <row r="3">
      <c r="A3" s="14"/>
      <c r="B3" s="14" t="s">
        <v>17</v>
      </c>
      <c r="C3" s="14" t="s">
        <v>226</v>
      </c>
      <c r="D3" s="14" t="s">
        <v>227</v>
      </c>
      <c r="E3" s="14" t="s">
        <v>228</v>
      </c>
      <c r="F3" s="14" t="s">
        <v>229</v>
      </c>
      <c r="G3" s="14" t="s">
        <v>230</v>
      </c>
      <c r="H3" s="14" t="s">
        <v>229</v>
      </c>
    </row>
    <row r="4">
      <c r="A4" s="1"/>
      <c r="B4" s="1" t="s">
        <v>21</v>
      </c>
      <c r="C4" s="1" t="s">
        <v>231</v>
      </c>
      <c r="D4" s="21">
        <v>240.0</v>
      </c>
      <c r="E4" s="22">
        <v>3800.0</v>
      </c>
      <c r="F4" s="23">
        <f t="shared" ref="F4:F14" si="1">roundup(E4/90,0)</f>
        <v>43</v>
      </c>
      <c r="G4" s="22">
        <f t="shared" ref="G4:G13" si="2">D4*E4</f>
        <v>912000</v>
      </c>
      <c r="H4" s="23">
        <f t="shared" ref="H4:H14" si="3">D4*F4</f>
        <v>10320</v>
      </c>
    </row>
    <row r="5">
      <c r="A5" s="1"/>
      <c r="B5" s="1" t="s">
        <v>23</v>
      </c>
      <c r="C5" s="1" t="s">
        <v>87</v>
      </c>
      <c r="D5" s="21">
        <v>160.0</v>
      </c>
      <c r="E5" s="22">
        <v>3600.0</v>
      </c>
      <c r="F5" s="23">
        <f t="shared" si="1"/>
        <v>40</v>
      </c>
      <c r="G5" s="22">
        <f t="shared" si="2"/>
        <v>576000</v>
      </c>
      <c r="H5" s="23">
        <f t="shared" si="3"/>
        <v>6400</v>
      </c>
    </row>
    <row r="6">
      <c r="A6" s="1"/>
      <c r="B6" s="1" t="s">
        <v>25</v>
      </c>
      <c r="C6" s="1" t="s">
        <v>91</v>
      </c>
      <c r="D6" s="21">
        <v>120.0</v>
      </c>
      <c r="E6" s="22">
        <v>4000.0</v>
      </c>
      <c r="F6" s="23">
        <f t="shared" si="1"/>
        <v>45</v>
      </c>
      <c r="G6" s="22">
        <f t="shared" si="2"/>
        <v>480000</v>
      </c>
      <c r="H6" s="23">
        <f t="shared" si="3"/>
        <v>5400</v>
      </c>
    </row>
    <row r="7">
      <c r="A7" s="1"/>
      <c r="B7" s="1" t="s">
        <v>232</v>
      </c>
      <c r="C7" s="1" t="s">
        <v>233</v>
      </c>
      <c r="D7" s="21">
        <v>480.0</v>
      </c>
      <c r="E7" s="22">
        <v>3900.0</v>
      </c>
      <c r="F7" s="23">
        <f t="shared" si="1"/>
        <v>44</v>
      </c>
      <c r="G7" s="22">
        <f t="shared" si="2"/>
        <v>1872000</v>
      </c>
      <c r="H7" s="23">
        <f t="shared" si="3"/>
        <v>21120</v>
      </c>
    </row>
    <row r="8">
      <c r="A8" s="1"/>
      <c r="B8" s="1" t="s">
        <v>234</v>
      </c>
      <c r="C8" s="1" t="s">
        <v>95</v>
      </c>
      <c r="D8" s="21">
        <v>360.0</v>
      </c>
      <c r="E8" s="22">
        <v>3800.0</v>
      </c>
      <c r="F8" s="23">
        <f t="shared" si="1"/>
        <v>43</v>
      </c>
      <c r="G8" s="22">
        <f t="shared" si="2"/>
        <v>1368000</v>
      </c>
      <c r="H8" s="23">
        <f t="shared" si="3"/>
        <v>15480</v>
      </c>
    </row>
    <row r="9">
      <c r="A9" s="1"/>
      <c r="B9" s="1" t="s">
        <v>165</v>
      </c>
      <c r="C9" s="1" t="s">
        <v>235</v>
      </c>
      <c r="D9" s="21">
        <v>200.0</v>
      </c>
      <c r="E9" s="22">
        <v>3900.0</v>
      </c>
      <c r="F9" s="23">
        <f t="shared" si="1"/>
        <v>44</v>
      </c>
      <c r="G9" s="22">
        <f t="shared" si="2"/>
        <v>780000</v>
      </c>
      <c r="H9" s="23">
        <f t="shared" si="3"/>
        <v>8800</v>
      </c>
    </row>
    <row r="10">
      <c r="A10" s="1"/>
      <c r="B10" s="1" t="s">
        <v>236</v>
      </c>
      <c r="C10" s="1" t="s">
        <v>233</v>
      </c>
      <c r="D10" s="21">
        <v>240.0</v>
      </c>
      <c r="E10" s="22">
        <v>3500.0</v>
      </c>
      <c r="F10" s="23">
        <f t="shared" si="1"/>
        <v>39</v>
      </c>
      <c r="G10" s="22">
        <f t="shared" si="2"/>
        <v>840000</v>
      </c>
      <c r="H10" s="23">
        <f t="shared" si="3"/>
        <v>9360</v>
      </c>
    </row>
    <row r="11">
      <c r="A11" s="1"/>
      <c r="B11" s="1" t="s">
        <v>182</v>
      </c>
      <c r="C11" s="1" t="s">
        <v>237</v>
      </c>
      <c r="D11" s="21">
        <v>160.0</v>
      </c>
      <c r="E11" s="22">
        <v>3800.0</v>
      </c>
      <c r="F11" s="23">
        <f t="shared" si="1"/>
        <v>43</v>
      </c>
      <c r="G11" s="22">
        <f t="shared" si="2"/>
        <v>608000</v>
      </c>
      <c r="H11" s="23">
        <f t="shared" si="3"/>
        <v>6880</v>
      </c>
    </row>
    <row r="12">
      <c r="A12" s="1"/>
      <c r="B12" s="1" t="s">
        <v>169</v>
      </c>
      <c r="C12" s="1" t="s">
        <v>238</v>
      </c>
      <c r="D12" s="21">
        <v>80.0</v>
      </c>
      <c r="E12" s="22">
        <v>3200.0</v>
      </c>
      <c r="F12" s="23">
        <f t="shared" si="1"/>
        <v>36</v>
      </c>
      <c r="G12" s="22">
        <f t="shared" si="2"/>
        <v>256000</v>
      </c>
      <c r="H12" s="23">
        <f t="shared" si="3"/>
        <v>2880</v>
      </c>
    </row>
    <row r="13">
      <c r="A13" s="1"/>
      <c r="B13" s="1" t="s">
        <v>239</v>
      </c>
      <c r="C13" s="1" t="s">
        <v>107</v>
      </c>
      <c r="D13" s="21">
        <v>160.0</v>
      </c>
      <c r="E13" s="22">
        <v>3200.0</v>
      </c>
      <c r="F13" s="23">
        <f t="shared" si="1"/>
        <v>36</v>
      </c>
      <c r="G13" s="22">
        <f t="shared" si="2"/>
        <v>512000</v>
      </c>
      <c r="H13" s="23">
        <f t="shared" si="3"/>
        <v>5760</v>
      </c>
    </row>
    <row r="14">
      <c r="C14" s="24" t="s">
        <v>240</v>
      </c>
      <c r="D14" s="25">
        <f>SUM(D4:D13)</f>
        <v>2200</v>
      </c>
      <c r="E14" s="26">
        <f>ROUNDUP(G14/D14,0)</f>
        <v>3730</v>
      </c>
      <c r="F14" s="27">
        <f t="shared" si="1"/>
        <v>42</v>
      </c>
      <c r="G14" s="28">
        <f>SUM(G4:G13)</f>
        <v>8204000</v>
      </c>
      <c r="H14" s="29">
        <f t="shared" si="3"/>
        <v>92400</v>
      </c>
    </row>
    <row r="16">
      <c r="A16" s="1"/>
      <c r="B16" s="1" t="s">
        <v>241</v>
      </c>
    </row>
    <row r="17">
      <c r="A17" s="1"/>
      <c r="B17" s="1" t="s">
        <v>242</v>
      </c>
      <c r="F17" s="22"/>
      <c r="G17" s="22">
        <v>1000000.0</v>
      </c>
      <c r="H17" s="23">
        <f t="shared" ref="H17:H20" si="4">G17/90</f>
        <v>11111.11111</v>
      </c>
    </row>
    <row r="18">
      <c r="A18" s="1"/>
      <c r="B18" s="1" t="s">
        <v>243</v>
      </c>
      <c r="C18" s="1" t="s">
        <v>244</v>
      </c>
      <c r="F18" s="22"/>
      <c r="G18" s="22">
        <v>500000.0</v>
      </c>
      <c r="H18" s="23">
        <f t="shared" si="4"/>
        <v>5555.555556</v>
      </c>
    </row>
    <row r="19">
      <c r="C19" s="1" t="s">
        <v>245</v>
      </c>
      <c r="F19" s="22"/>
      <c r="G19" s="22">
        <v>2000000.0</v>
      </c>
      <c r="H19" s="23">
        <f t="shared" si="4"/>
        <v>22222.22222</v>
      </c>
    </row>
    <row r="20">
      <c r="C20" s="1" t="s">
        <v>246</v>
      </c>
      <c r="F20" s="22"/>
      <c r="G20" s="22">
        <v>1000000.0</v>
      </c>
      <c r="H20" s="23">
        <f t="shared" si="4"/>
        <v>11111.11111</v>
      </c>
    </row>
    <row r="21">
      <c r="A21" s="1"/>
      <c r="B21" s="1" t="s">
        <v>247</v>
      </c>
    </row>
    <row r="22">
      <c r="A22" s="1"/>
      <c r="B22" s="1" t="s">
        <v>248</v>
      </c>
      <c r="F22" s="22"/>
      <c r="G22" s="22">
        <v>2000000.0</v>
      </c>
      <c r="H22" s="23">
        <f t="shared" ref="H22:H24" si="5">G22/90</f>
        <v>22222.22222</v>
      </c>
    </row>
    <row r="23">
      <c r="A23" s="1"/>
      <c r="B23" s="1" t="s">
        <v>249</v>
      </c>
      <c r="F23" s="30"/>
      <c r="G23" s="30">
        <f>(G14+G17+G18+G19+G20+G22)*0.1</f>
        <v>1470400</v>
      </c>
      <c r="H23" s="23">
        <f t="shared" si="5"/>
        <v>16337.77778</v>
      </c>
    </row>
    <row r="24">
      <c r="C24" s="24" t="s">
        <v>250</v>
      </c>
      <c r="D24" s="31"/>
      <c r="E24" s="31"/>
      <c r="F24" s="32"/>
      <c r="G24" s="33">
        <f>SUM(G17:G23)</f>
        <v>7970400</v>
      </c>
      <c r="H24" s="29">
        <f t="shared" si="5"/>
        <v>88560</v>
      </c>
    </row>
    <row r="25">
      <c r="C25" s="17"/>
      <c r="F25" s="34"/>
      <c r="G25" s="34"/>
      <c r="H25" s="35"/>
    </row>
    <row r="26">
      <c r="C26" s="36" t="s">
        <v>251</v>
      </c>
      <c r="D26" s="37"/>
      <c r="E26" s="37"/>
      <c r="F26" s="38"/>
      <c r="G26" s="39">
        <f t="shared" ref="G26:H26" si="6">G14+G24</f>
        <v>16174400</v>
      </c>
      <c r="H26" s="40">
        <f t="shared" si="6"/>
        <v>180960</v>
      </c>
    </row>
  </sheetData>
  <mergeCells count="1">
    <mergeCell ref="A1:C1"/>
  </mergeCells>
  <drawing r:id="rId1"/>
</worksheet>
</file>