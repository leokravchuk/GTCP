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Capacities" sheetId="1" state="visible" r:id="rId3"/>
    <sheet name="2. Formula Analysis" sheetId="2" state="visible" r:id="rId4"/>
    <sheet name="3. Code Proposa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<sst xmlns="http://schemas.openxmlformats.org/spreadsheetml/2006/main" count="124" uniqueCount="103">
  <si>
    <t xml:space="preserve">GASTRANS — Структура мощностей (GY 2022/2023)</t>
  </si>
  <si>
    <t xml:space="preserve">Источник: АЕРС – Табела 1, Улазни енергетско-технички подаци  |  Единица: kWh/h (GCV 25/0°C)</t>
  </si>
  <si>
    <t xml:space="preserve">A. ТЕХНИЧЕСКАЯ МОЩНОСТЬ (100%)</t>
  </si>
  <si>
    <t xml:space="preserve">Точка</t>
  </si>
  <si>
    <t xml:space="preserve">Тех. мощность
(kWh/h)</t>
  </si>
  <si>
    <t xml:space="preserve">kWh/day</t>
  </si>
  <si>
    <t xml:space="preserve">m³/h [20°C]</t>
  </si>
  <si>
    <t xml:space="preserve">%</t>
  </si>
  <si>
    <t xml:space="preserve">Примечание</t>
  </si>
  <si>
    <t xml:space="preserve">Entry Point 1  —  Kirevo / Zaječar</t>
  </si>
  <si>
    <t xml:space="preserve">Точка входа TurkStream</t>
  </si>
  <si>
    <t xml:space="preserve">Exit — Domestic zone (3 points)</t>
  </si>
  <si>
    <t xml:space="preserve">Параћин, Панчево, Госпођинци</t>
  </si>
  <si>
    <t xml:space="preserve">Exit Point 4  —  Horgoš (IP Kiskundorozsma)</t>
  </si>
  <si>
    <t xml:space="preserve">Выход в Венгрию (транзит)</t>
  </si>
  <si>
    <t xml:space="preserve">B. ЗАКУПЛЕННАЯ ДОЛГОСРОЧНАЯ МОЩНОСТЬ (зарезервировано ~90%)</t>
  </si>
  <si>
    <t xml:space="preserve">Зарезерв.
(kWh/h)</t>
  </si>
  <si>
    <t xml:space="preserve">% от тех.</t>
  </si>
  <si>
    <t xml:space="preserve">Биллинг</t>
  </si>
  <si>
    <t xml:space="preserve">Annual tariff: 4.19 EUR/(kWh/h)/yr</t>
  </si>
  <si>
    <t xml:space="preserve">N/A (domestic)</t>
  </si>
  <si>
    <t xml:space="preserve">Exit Point 4  —  Horgoš</t>
  </si>
  <si>
    <t xml:space="preserve">Annual tariff: 6.85 EUR/(kWh/h)/yr</t>
  </si>
  <si>
    <t xml:space="preserve">C. СВОБОДНАЯ КРАТКОСРОЧНАЯ КОММЕРЧЕСКАЯ МОЩНОСТЬ (~10%)</t>
  </si>
  <si>
    <t xml:space="preserve">Своб.
(kWh/h)</t>
  </si>
  <si>
    <t xml:space="preserve">Daily: 0.0230 EUR/(kWh/h)/day</t>
  </si>
  <si>
    <t xml:space="preserve">N/A</t>
  </si>
  <si>
    <t xml:space="preserve">Daily: 0.0375 EUR/(kWh/h)/day</t>
  </si>
  <si>
    <t xml:space="preserve">⚠  Ключевое наблюдение: Reserved Entry (13,752,230) ≠ Reserved Exit Horgoš (9,216,209) — разница 4,536,021 kWh/h уходит в domestic exit zone. Единая формула с одним capacity_kWh_h некорректна.</t>
  </si>
  <si>
    <t xml:space="preserve">АНАЛИЗ ФОРМУЛЫ CAPACITY FEE — ОШИБКИ ТЕКУЩЕЙ МОДЕЛИ</t>
  </si>
  <si>
    <t xml:space="preserve">ДОПУЩЕНИЯ (официальные тарифы АЕРС 05-145, GY2025/2026)</t>
  </si>
  <si>
    <t xml:space="preserve">Cap Entry Kirevo (reserved)</t>
  </si>
  <si>
    <t xml:space="preserve">kWh/h</t>
  </si>
  <si>
    <t xml:space="preserve">Cap Exit Horgoš (reserved)</t>
  </si>
  <si>
    <t xml:space="preserve">Cap Free Entry (short-term)</t>
  </si>
  <si>
    <t xml:space="preserve">Cap Free Exit Horgoš</t>
  </si>
  <si>
    <t xml:space="preserve">Tariff Entry (Annual Firm)</t>
  </si>
  <si>
    <t xml:space="preserve">EUR/(kWh/h)/yr</t>
  </si>
  <si>
    <t xml:space="preserve">Tariff Exit Horgoš (Annual)</t>
  </si>
  <si>
    <t xml:space="preserve">Tariff Bundled Annual</t>
  </si>
  <si>
    <t xml:space="preserve">Tariff Daily Entry</t>
  </si>
  <si>
    <t xml:space="preserve">EUR/(kWh/h)/day</t>
  </si>
  <si>
    <t xml:space="preserve">Tariff Daily Exit Horgoš</t>
  </si>
  <si>
    <t xml:space="preserve">Days in period (example)</t>
  </si>
  <si>
    <t xml:space="preserve">days</t>
  </si>
  <si>
    <t xml:space="preserve">СРАВНЕНИЕ ФОРМУЛ — ГОДОВОЙ БИЛЛИНГ (365 дней)</t>
  </si>
  <si>
    <t xml:space="preserve">Вариант</t>
  </si>
  <si>
    <t xml:space="preserve">Формула</t>
  </si>
  <si>
    <t xml:space="preserve">Используемая мощность</t>
  </si>
  <si>
    <t xml:space="preserve">Результат (EUR/yr)</t>
  </si>
  <si>
    <t xml:space="preserve">vs КОРРЕКТНОГО</t>
  </si>
  <si>
    <t xml:space="preserve">Оценка</t>
  </si>
  <si>
    <t xml:space="preserve">❌ СТАРАЯ (cap_entry × bundled)</t>
  </si>
  <si>
    <t xml:space="preserve">cap × (t_entry + t_exit) / 365 × days</t>
  </si>
  <si>
    <t xml:space="preserve">13,752,230 kWh/h (entry)</t>
  </si>
  <si>
    <t xml:space="preserve">ОШИБКА: +31M EUR</t>
  </si>
  <si>
    <t xml:space="preserve">НЕВЕРНО</t>
  </si>
  <si>
    <t xml:space="preserve">❌ СТАРАЯ (cap_exit × bundled)</t>
  </si>
  <si>
    <t xml:space="preserve">9,216,209 kWh/h (exit)</t>
  </si>
  <si>
    <t xml:space="preserve">ОШИБКА: −19M EUR</t>
  </si>
  <si>
    <t xml:space="preserve">✅ КОРРЕКТНАЯ (раздельно)</t>
  </si>
  <si>
    <t xml:space="preserve">cap_entry×t_entry/365×days
+ cap_exit×t_exit/365×days</t>
  </si>
  <si>
    <t xml:space="preserve">13,752,230 entry + 9,216,209 exit</t>
  </si>
  <si>
    <t xml:space="preserve">—</t>
  </si>
  <si>
    <t xml:space="preserve">✅ ВЕРНО</t>
  </si>
  <si>
    <t xml:space="preserve">ПОМЕСЯЧНЫЙ БИЛЛИНГ — КОРРЕКТНАЯ ФОРМУЛА (по количеству дней в месяце)</t>
  </si>
  <si>
    <t xml:space="preserve">Месяц</t>
  </si>
  <si>
    <t xml:space="preserve">Дней</t>
  </si>
  <si>
    <t xml:space="preserve">Entry Fee
(EUR)</t>
  </si>
  <si>
    <t xml:space="preserve">Exit Fee
(EUR)</t>
  </si>
  <si>
    <t xml:space="preserve">TOTAL Capacity Fee
(EUR)</t>
  </si>
  <si>
    <t xml:space="preserve">Сумма годовая накопл.</t>
  </si>
  <si>
    <t xml:space="preserve">Январь</t>
  </si>
  <si>
    <t xml:space="preserve">Февраль</t>
  </si>
  <si>
    <t xml:space="preserve">Март</t>
  </si>
  <si>
    <t xml:space="preserve">Апрель</t>
  </si>
  <si>
    <t xml:space="preserve">Май</t>
  </si>
  <si>
    <t xml:space="preserve">Июнь</t>
  </si>
  <si>
    <t xml:space="preserve">Июль</t>
  </si>
  <si>
    <t xml:space="preserve">Август</t>
  </si>
  <si>
    <t xml:space="preserve">Сентябрь</t>
  </si>
  <si>
    <t xml:space="preserve">Октябрь</t>
  </si>
  <si>
    <t xml:space="preserve">Ноябрь</t>
  </si>
  <si>
    <t xml:space="preserve">Декабрь</t>
  </si>
  <si>
    <t xml:space="preserve">ИТОГО (365 дней)</t>
  </si>
  <si>
    <t xml:space="preserve">ПРЕДЛОЖЕНИЕ ПО ИСПРАВЛЕНИЮ КОДА — billing.js &amp; GTCP_MVP.html</t>
  </si>
  <si>
    <t xml:space="preserve">ПРОБЛЕМА</t>
  </si>
  <si>
    <t xml:space="preserve">Текущая формула предполагает одинаковую мощность на входе и выходе
capacity_fee = capacity_kWh_h × (t_entry + t_exit) / 365 × days</t>
  </si>
  <si>
    <t xml:space="preserve">Работает только если cap_entry == cap_exit. У Gastrans это НЕ так:
cap_entry = 13,752,230  ≠  cap_exit = 9,216,209 kWh/h</t>
  </si>
  <si>
    <t xml:space="preserve">КОРРЕКТНАЯ ФОРМУЛА</t>
  </si>
  <si>
    <t xml:space="preserve">Раздельный учёт мощности entry и exit
capacity_fee = cap_entry × t_entry / 365 × days
             + cap_exit  × t_exit  / 365 × days</t>
  </si>
  <si>
    <t xml:space="preserve">Каждая точка (entry/exit) имеет собственный зарезервированный
объём и свой тариф — биллинг должен быть раздельным</t>
  </si>
  <si>
    <t xml:space="preserve">ИЗМЕНЕНИЯ В billing.js</t>
  </si>
  <si>
    <t xml:space="preserve">calcCapacityFee() — добавить параметры entry/exit
function calcCapacityFee({
  capacityEntryKwhH,
  capacityExitKwhH,
  tariffEntryEurKwhHYr,
  tariffExitEurKwhHYr,
  billingDays
}) {
  const entryFee = (capacityEntryKwhH * tariffEntryEurKwhHYr / 365) * billingDays;
  const exitFee  = (capacityExitKwhH  * tariffExitEurKwhHYr  / 365) * billingDays;
  return parseFloat((entryFee + exitFee).toFixed(2));
}</t>
  </si>
  <si>
    <t xml:space="preserve">Разделить entry и exit мощности.
Использовать capacityEntryKwhH и capacityExitKwhH
из таблицы contracts (поля tariff_entry / tariff_exit
уже есть в 003_contracts_nc.sql)</t>
  </si>
  <si>
    <t xml:space="preserve">POST /billing — тело запроса
// БЫЛО:
{ capacityKwhH, tariffEntryEurKwhHYr, tariffExitEurKwhHYr }
// СТАЛО:
{ capacityEntryKwhH,  // 13,752,230 для Entry Kirevo
  capacityExitKwhH,   // 9,216,209 для Exit Horgoš
  tariffEntryEurKwhHYr,
  tariffExitEurKwhHYr,
  billingDays }</t>
  </si>
  <si>
    <t xml:space="preserve">При auto-lookup по contractId:
  → capacity_entry_kwh_h из contracts.tariff_entry
  → capacity_exit_kwh_h из contracts.tariff_exit</t>
  </si>
  <si>
    <t xml:space="preserve">ИЗМЕНЕНИЯ В GTCP_MVP.html</t>
  </si>
  <si>
    <t xml:space="preserve">Invoice modal — два поля мощности вместо одного
// БЫЛО: одно поле
&lt;input id='inv-cap-kwh-h'&gt;
// СТАЛО: два поля
&lt;input id='inv-cap-entry-kwh-h'
  placeholder='13752230  (Entry Kirevo)'&gt;
&lt;input id='inv-cap-exit-kwh-h'
  placeholder='9216209   (Exit Horgoš)'&gt;</t>
  </si>
  <si>
    <t xml:space="preserve">Автозаполнение при выборе контракта:
  entry = contract.capacityEntryKwhH
  exit  = contract.capacityExitKwhH</t>
  </si>
  <si>
    <t xml:space="preserve">БД — миграция 005 (новые поля)</t>
  </si>
  <si>
    <t xml:space="preserve">contracts — разделить capacity на entry/exit
ALTER TABLE contracts
  ADD COLUMN capacity_entry_kwh_h NUMERIC(18,2),
  ADD COLUMN capacity_exit_kwh_h  NUMERIC(18,2);
-- Миграция существующих данных:
UPDATE contracts
  SET capacity_entry_kwh_h = capacity_kwh_h,
      capacity_exit_kwh_h  = capacity_kwh_h * 0.67
  -- 9,216,209 / 13,752,230 ≈ 0.67 для транзита</t>
  </si>
  <si>
    <t xml:space="preserve">Реальные значения для FIRM_ANNUAL:
  Entry  = 13,752,230 kWh/h (90% tech)
  Exit   =  9,216,209 kWh/h (90% tech)
Для COMMERCIAL_REVERSE — только exit Horgoš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</si>
</sst>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#,##0.00"/>
    <numFmt numFmtId="167" formatCode="0.0%"/>
    <numFmt numFmtId="168" formatCode="0.00"/>
    <numFmt numFmtId="169" formatCode="0.0000"/>
    <numFmt numFmtId="170" formatCode="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97D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444444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color rgb="FF1F497D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sz val="10"/>
      <color rgb="FF375623"/>
      <name val="Arial"/>
      <family val="0"/>
      <charset val="1"/>
    </font>
    <font>
      <b val="true"/>
      <sz val="10"/>
      <color rgb="FFC55A11"/>
      <name val="Arial"/>
      <family val="0"/>
      <charset val="1"/>
    </font>
    <font>
      <sz val="10"/>
      <color rgb="FFC55A11"/>
      <name val="Arial"/>
      <family val="0"/>
      <charset val="1"/>
    </font>
    <font>
      <b val="true"/>
      <sz val="9"/>
      <color rgb="FF843C0C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888888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sz val="9"/>
      <color rgb="FF9C0006"/>
      <name val="Arial"/>
      <family val="0"/>
      <charset val="1"/>
    </font>
    <font>
      <sz val="10"/>
      <color rgb="FF9C0006"/>
      <name val="Arial"/>
      <family val="0"/>
      <charset val="1"/>
    </font>
    <font>
      <sz val="9"/>
      <color rgb="FF375623"/>
      <name val="Arial"/>
      <family val="0"/>
      <charset val="1"/>
    </font>
    <font>
      <sz val="9"/>
      <color rgb="FF9C0006"/>
      <name val="Courier New"/>
      <family val="0"/>
      <charset val="1"/>
    </font>
    <font>
      <sz val="9"/>
      <color rgb="FF333333"/>
      <name val="Arial"/>
      <family val="0"/>
      <charset val="1"/>
    </font>
    <font>
      <sz val="9"/>
      <color rgb="FF375623"/>
      <name val="Courier New"/>
      <family val="0"/>
      <charset val="1"/>
    </font>
    <font>
      <sz val="9"/>
      <color rgb="FF000000"/>
      <name val="Courier New"/>
      <family val="0"/>
      <charset val="1"/>
    </font>
    <font>
      <sz val="9"/>
      <color rgb="FF843C0C"/>
      <name val="Courier New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EBF0F8"/>
        <bgColor rgb="FFF0F4FA"/>
      </patternFill>
    </fill>
    <fill>
      <patternFill patternType="solid">
        <fgColor rgb="FFFFFFFF"/>
        <bgColor rgb="FFF0F4FA"/>
      </patternFill>
    </fill>
    <fill>
      <patternFill patternType="solid">
        <fgColor rgb="FF375623"/>
        <bgColor rgb="FF444444"/>
      </patternFill>
    </fill>
    <fill>
      <patternFill patternType="solid">
        <fgColor rgb="FF4CAF50"/>
        <bgColor rgb="FF888888"/>
      </patternFill>
    </fill>
    <fill>
      <patternFill patternType="solid">
        <fgColor rgb="FFE2EFDA"/>
        <bgColor rgb="FFEBF0F8"/>
      </patternFill>
    </fill>
    <fill>
      <patternFill patternType="solid">
        <fgColor rgb="FFC55A11"/>
        <bgColor rgb="FFED7D31"/>
      </patternFill>
    </fill>
    <fill>
      <patternFill patternType="solid">
        <fgColor rgb="FFED7D31"/>
        <bgColor rgb="FFFF8080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0F4FA"/>
        <bgColor rgb="FFEBF0F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1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7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BBBBB"/>
      <rgbColor rgb="FF888888"/>
      <rgbColor rgb="FF9999FF"/>
      <rgbColor rgb="FF555555"/>
      <rgbColor rgb="FFFFF2CC"/>
      <rgbColor rgb="FFEBF0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A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ED7D31"/>
      <rgbColor rgb="FF666666"/>
      <rgbColor rgb="FF969696"/>
      <rgbColor rgb="FF003366"/>
      <rgbColor rgb="FF4CAF50"/>
      <rgbColor rgb="FF375623"/>
      <rgbColor rgb="FF444444"/>
      <rgbColor rgb="FF843C0C"/>
      <rgbColor rgb="FFC55A11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5" min="3" style="0" width="18"/>
    <col collapsed="false" customWidth="true" hidden="false" outlineLevel="0" max="6" min="6" style="0" width="10"/>
    <col collapsed="false" customWidth="true" hidden="false" outlineLevel="0" max="7" min="7" style="0" width="26"/>
  </cols>
  <sheetData>
    <row r="1" customFormat="false" ht="7.5" hidden="false" customHeight="true" outlineLevel="0" collapsed="false"/>
    <row r="2" customFormat="false" ht="17.35" hidden="false" customHeight="false" outlineLevel="0" collapsed="false">
      <c r="B2" s="1" t="s">
        <v>0</v>
      </c>
      <c r="C2" s="1"/>
      <c r="D2" s="1"/>
      <c r="E2" s="1"/>
      <c r="F2" s="1"/>
      <c r="G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</row>
    <row r="4" customFormat="false" ht="6" hidden="false" customHeight="true" outlineLevel="0" collapsed="false"/>
    <row r="5" customFormat="false" ht="15" hidden="false" customHeight="false" outlineLevel="0" collapsed="false">
      <c r="B5" s="3" t="s">
        <v>2</v>
      </c>
      <c r="C5" s="3"/>
      <c r="D5" s="3"/>
      <c r="E5" s="3"/>
      <c r="F5" s="3"/>
      <c r="G5" s="3"/>
    </row>
    <row r="6" customFormat="false" ht="23.85" hidden="false" customHeight="false" outlineLevel="0" collapsed="false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</row>
    <row r="7" customFormat="false" ht="15" hidden="false" customHeight="false" outlineLevel="0" collapsed="false">
      <c r="B7" s="5" t="s">
        <v>9</v>
      </c>
      <c r="C7" s="6" t="n">
        <v>15280488</v>
      </c>
      <c r="D7" s="6" t="n">
        <v>366731712</v>
      </c>
      <c r="E7" s="7" t="n">
        <v>1406615.67</v>
      </c>
      <c r="F7" s="8" t="n">
        <v>1</v>
      </c>
      <c r="G7" s="9" t="s">
        <v>10</v>
      </c>
    </row>
    <row r="8" customFormat="false" ht="15" hidden="false" customHeight="false" outlineLevel="0" collapsed="false">
      <c r="B8" s="10" t="s">
        <v>11</v>
      </c>
      <c r="C8" s="11" t="n">
        <v>5040256</v>
      </c>
      <c r="D8" s="11" t="n">
        <v>120966144</v>
      </c>
      <c r="E8" s="12" t="n">
        <v>463970.98</v>
      </c>
      <c r="F8" s="13" t="n">
        <v>1</v>
      </c>
      <c r="G8" s="14" t="s">
        <v>12</v>
      </c>
    </row>
    <row r="9" customFormat="false" ht="15" hidden="false" customHeight="false" outlineLevel="0" collapsed="false">
      <c r="B9" s="5" t="s">
        <v>13</v>
      </c>
      <c r="C9" s="6" t="n">
        <v>10240233</v>
      </c>
      <c r="D9" s="6" t="n">
        <v>245765592</v>
      </c>
      <c r="E9" s="7" t="n">
        <v>942644.78</v>
      </c>
      <c r="F9" s="8" t="n">
        <v>1</v>
      </c>
      <c r="G9" s="9" t="s">
        <v>14</v>
      </c>
    </row>
    <row r="10" customFormat="false" ht="7.5" hidden="false" customHeight="true" outlineLevel="0" collapsed="false"/>
    <row r="11" customFormat="false" ht="15" hidden="false" customHeight="false" outlineLevel="0" collapsed="false">
      <c r="B11" s="15" t="s">
        <v>15</v>
      </c>
      <c r="C11" s="15"/>
      <c r="D11" s="15"/>
      <c r="E11" s="15"/>
      <c r="F11" s="15"/>
      <c r="G11" s="15"/>
    </row>
    <row r="12" customFormat="false" ht="23.85" hidden="false" customHeight="false" outlineLevel="0" collapsed="false">
      <c r="B12" s="16" t="s">
        <v>3</v>
      </c>
      <c r="C12" s="16" t="s">
        <v>16</v>
      </c>
      <c r="D12" s="16" t="s">
        <v>5</v>
      </c>
      <c r="E12" s="16" t="s">
        <v>6</v>
      </c>
      <c r="F12" s="16" t="s">
        <v>17</v>
      </c>
      <c r="G12" s="16" t="s">
        <v>18</v>
      </c>
    </row>
    <row r="13" customFormat="false" ht="15" hidden="false" customHeight="false" outlineLevel="0" collapsed="false">
      <c r="B13" s="17" t="s">
        <v>9</v>
      </c>
      <c r="C13" s="18" t="n">
        <v>13752230</v>
      </c>
      <c r="D13" s="19" t="n">
        <v>330053520</v>
      </c>
      <c r="E13" s="20" t="n">
        <v>1265934.84</v>
      </c>
      <c r="F13" s="21" t="n">
        <v>0.899986309337765</v>
      </c>
      <c r="G13" s="22" t="s">
        <v>19</v>
      </c>
    </row>
    <row r="14" customFormat="false" ht="15" hidden="false" customHeight="false" outlineLevel="0" collapsed="false">
      <c r="B14" s="10" t="s">
        <v>11</v>
      </c>
      <c r="C14" s="23" t="n">
        <v>4536021</v>
      </c>
      <c r="D14" s="11" t="n">
        <v>108864504</v>
      </c>
      <c r="E14" s="12" t="n">
        <v>417554.61</v>
      </c>
      <c r="F14" s="24" t="n">
        <v>0.899958454491201</v>
      </c>
      <c r="G14" s="25" t="s">
        <v>20</v>
      </c>
    </row>
    <row r="15" customFormat="false" ht="15" hidden="false" customHeight="false" outlineLevel="0" collapsed="false">
      <c r="B15" s="17" t="s">
        <v>21</v>
      </c>
      <c r="C15" s="18" t="n">
        <v>9216209</v>
      </c>
      <c r="D15" s="19" t="n">
        <v>221189016</v>
      </c>
      <c r="E15" s="20" t="n">
        <v>848380.23</v>
      </c>
      <c r="F15" s="21" t="n">
        <v>0.89999993164218</v>
      </c>
      <c r="G15" s="22" t="s">
        <v>22</v>
      </c>
    </row>
    <row r="16" customFormat="false" ht="7.5" hidden="false" customHeight="true" outlineLevel="0" collapsed="false"/>
    <row r="17" customFormat="false" ht="15" hidden="false" customHeight="false" outlineLevel="0" collapsed="false">
      <c r="B17" s="26" t="s">
        <v>23</v>
      </c>
      <c r="C17" s="26"/>
      <c r="D17" s="26"/>
      <c r="E17" s="26"/>
      <c r="F17" s="26"/>
      <c r="G17" s="26"/>
    </row>
    <row r="18" customFormat="false" ht="23.85" hidden="false" customHeight="false" outlineLevel="0" collapsed="false">
      <c r="B18" s="27" t="s">
        <v>3</v>
      </c>
      <c r="C18" s="27" t="s">
        <v>24</v>
      </c>
      <c r="D18" s="27" t="s">
        <v>5</v>
      </c>
      <c r="E18" s="27" t="s">
        <v>6</v>
      </c>
      <c r="F18" s="27" t="s">
        <v>17</v>
      </c>
      <c r="G18" s="27" t="s">
        <v>18</v>
      </c>
    </row>
    <row r="19" customFormat="false" ht="15" hidden="false" customHeight="false" outlineLevel="0" collapsed="false">
      <c r="B19" s="28" t="s">
        <v>9</v>
      </c>
      <c r="C19" s="29" t="n">
        <v>1528258</v>
      </c>
      <c r="D19" s="30" t="n">
        <v>36678192</v>
      </c>
      <c r="E19" s="31" t="n">
        <v>140680.82</v>
      </c>
      <c r="F19" s="32" t="n">
        <v>0.100013690662235</v>
      </c>
      <c r="G19" s="33" t="s">
        <v>25</v>
      </c>
    </row>
    <row r="20" customFormat="false" ht="15" hidden="false" customHeight="false" outlineLevel="0" collapsed="false">
      <c r="B20" s="10" t="s">
        <v>11</v>
      </c>
      <c r="C20" s="34" t="n">
        <v>504235</v>
      </c>
      <c r="D20" s="11" t="n">
        <v>12101640</v>
      </c>
      <c r="E20" s="12" t="n">
        <v>46416.37</v>
      </c>
      <c r="F20" s="35" t="n">
        <v>0.1000415455088</v>
      </c>
      <c r="G20" s="36" t="s">
        <v>26</v>
      </c>
    </row>
    <row r="21" customFormat="false" ht="15" hidden="false" customHeight="false" outlineLevel="0" collapsed="false">
      <c r="B21" s="28" t="s">
        <v>21</v>
      </c>
      <c r="C21" s="29" t="n">
        <v>1024024</v>
      </c>
      <c r="D21" s="30" t="n">
        <v>24576576</v>
      </c>
      <c r="E21" s="31" t="n">
        <v>94264.54</v>
      </c>
      <c r="F21" s="32" t="n">
        <v>0.10000006835782</v>
      </c>
      <c r="G21" s="33" t="s">
        <v>27</v>
      </c>
    </row>
    <row r="23" customFormat="false" ht="31.5" hidden="false" customHeight="true" outlineLevel="0" collapsed="false">
      <c r="B23" s="37" t="s">
        <v>28</v>
      </c>
      <c r="C23" s="37"/>
      <c r="D23" s="37"/>
      <c r="E23" s="37"/>
      <c r="F23" s="37"/>
      <c r="G23" s="37"/>
    </row>
  </sheetData>
  <mergeCells count="6">
    <mergeCell ref="B2:G2"/>
    <mergeCell ref="B3:G3"/>
    <mergeCell ref="B5:G5"/>
    <mergeCell ref="B11:G11"/>
    <mergeCell ref="B17:G17"/>
    <mergeCell ref="B23:G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5" min="3" style="0" width="22"/>
    <col collapsed="false" customWidth="true" hidden="false" outlineLevel="0" max="7" min="6" style="0" width="18"/>
  </cols>
  <sheetData>
    <row r="1" customFormat="false" ht="7.5" hidden="false" customHeight="true" outlineLevel="0" collapsed="false"/>
    <row r="2" customFormat="false" ht="17.35" hidden="false" customHeight="false" outlineLevel="0" collapsed="false">
      <c r="B2" s="1" t="s">
        <v>29</v>
      </c>
      <c r="C2" s="1"/>
      <c r="D2" s="1"/>
      <c r="E2" s="1"/>
      <c r="F2" s="1"/>
      <c r="G2" s="1"/>
    </row>
    <row r="4" customFormat="false" ht="7.5" hidden="false" customHeight="true" outlineLevel="0" collapsed="false"/>
    <row r="5" customFormat="false" ht="15" hidden="false" customHeight="false" outlineLevel="0" collapsed="false">
      <c r="B5" s="38" t="s">
        <v>30</v>
      </c>
      <c r="C5" s="38"/>
      <c r="D5" s="38"/>
      <c r="E5" s="38"/>
      <c r="F5" s="38"/>
      <c r="G5" s="38"/>
    </row>
    <row r="6" customFormat="false" ht="15" hidden="false" customHeight="false" outlineLevel="0" collapsed="false">
      <c r="B6" s="5" t="s">
        <v>31</v>
      </c>
      <c r="C6" s="39" t="n">
        <v>13752230</v>
      </c>
      <c r="D6" s="40" t="s">
        <v>32</v>
      </c>
    </row>
    <row r="7" customFormat="false" ht="15" hidden="false" customHeight="false" outlineLevel="0" collapsed="false">
      <c r="B7" s="10" t="s">
        <v>33</v>
      </c>
      <c r="C7" s="41" t="n">
        <v>9216209</v>
      </c>
      <c r="D7" s="42" t="s">
        <v>32</v>
      </c>
    </row>
    <row r="8" customFormat="false" ht="15" hidden="false" customHeight="false" outlineLevel="0" collapsed="false">
      <c r="B8" s="5" t="s">
        <v>34</v>
      </c>
      <c r="C8" s="39" t="n">
        <v>1528258</v>
      </c>
      <c r="D8" s="40" t="s">
        <v>32</v>
      </c>
    </row>
    <row r="9" customFormat="false" ht="15" hidden="false" customHeight="false" outlineLevel="0" collapsed="false">
      <c r="B9" s="10" t="s">
        <v>35</v>
      </c>
      <c r="C9" s="41" t="n">
        <v>1024024</v>
      </c>
      <c r="D9" s="42" t="s">
        <v>32</v>
      </c>
    </row>
    <row r="10" customFormat="false" ht="15" hidden="false" customHeight="false" outlineLevel="0" collapsed="false">
      <c r="B10" s="5" t="s">
        <v>36</v>
      </c>
      <c r="C10" s="43" t="n">
        <v>4.19</v>
      </c>
      <c r="D10" s="40" t="s">
        <v>37</v>
      </c>
    </row>
    <row r="11" customFormat="false" ht="15" hidden="false" customHeight="false" outlineLevel="0" collapsed="false">
      <c r="B11" s="10" t="s">
        <v>38</v>
      </c>
      <c r="C11" s="44" t="n">
        <v>6.85</v>
      </c>
      <c r="D11" s="42" t="s">
        <v>37</v>
      </c>
    </row>
    <row r="12" customFormat="false" ht="15" hidden="false" customHeight="false" outlineLevel="0" collapsed="false">
      <c r="B12" s="5" t="s">
        <v>39</v>
      </c>
      <c r="C12" s="43" t="n">
        <v>11.04</v>
      </c>
      <c r="D12" s="40" t="s">
        <v>37</v>
      </c>
    </row>
    <row r="13" customFormat="false" ht="15" hidden="false" customHeight="false" outlineLevel="0" collapsed="false">
      <c r="B13" s="10" t="s">
        <v>40</v>
      </c>
      <c r="C13" s="45" t="n">
        <v>0.023</v>
      </c>
      <c r="D13" s="42" t="s">
        <v>41</v>
      </c>
    </row>
    <row r="14" customFormat="false" ht="15" hidden="false" customHeight="false" outlineLevel="0" collapsed="false">
      <c r="B14" s="5" t="s">
        <v>42</v>
      </c>
      <c r="C14" s="46" t="n">
        <v>0.0375</v>
      </c>
      <c r="D14" s="40" t="s">
        <v>41</v>
      </c>
    </row>
    <row r="15" customFormat="false" ht="15" hidden="false" customHeight="false" outlineLevel="0" collapsed="false">
      <c r="B15" s="10" t="s">
        <v>43</v>
      </c>
      <c r="C15" s="47" t="n">
        <v>365</v>
      </c>
      <c r="D15" s="42" t="s">
        <v>44</v>
      </c>
    </row>
    <row r="17" customFormat="false" ht="7.5" hidden="false" customHeight="true" outlineLevel="0" collapsed="false"/>
    <row r="18" customFormat="false" ht="15" hidden="false" customHeight="false" outlineLevel="0" collapsed="false">
      <c r="B18" s="48" t="s">
        <v>45</v>
      </c>
      <c r="C18" s="48"/>
      <c r="D18" s="48"/>
      <c r="E18" s="48"/>
      <c r="F18" s="48"/>
      <c r="G18" s="48"/>
    </row>
    <row r="19" customFormat="false" ht="23.85" hidden="false" customHeight="false" outlineLevel="0" collapsed="false">
      <c r="B19" s="27" t="s">
        <v>46</v>
      </c>
      <c r="C19" s="27" t="s">
        <v>47</v>
      </c>
      <c r="D19" s="27" t="s">
        <v>48</v>
      </c>
      <c r="E19" s="27" t="s">
        <v>49</v>
      </c>
      <c r="F19" s="27" t="s">
        <v>50</v>
      </c>
      <c r="G19" s="27" t="s">
        <v>51</v>
      </c>
    </row>
    <row r="20" customFormat="false" ht="43.5" hidden="false" customHeight="true" outlineLevel="0" collapsed="false">
      <c r="B20" s="49" t="s">
        <v>52</v>
      </c>
      <c r="C20" s="50" t="s">
        <v>53</v>
      </c>
      <c r="D20" s="51" t="s">
        <v>54</v>
      </c>
      <c r="E20" s="52" t="n">
        <f aca="false">C6*C12/365*C15</f>
        <v>151824619.2</v>
      </c>
      <c r="F20" s="49" t="s">
        <v>55</v>
      </c>
      <c r="G20" s="49" t="s">
        <v>56</v>
      </c>
    </row>
    <row r="21" customFormat="false" ht="43.5" hidden="false" customHeight="true" outlineLevel="0" collapsed="false">
      <c r="B21" s="49" t="s">
        <v>57</v>
      </c>
      <c r="C21" s="50" t="s">
        <v>53</v>
      </c>
      <c r="D21" s="51" t="s">
        <v>58</v>
      </c>
      <c r="E21" s="52" t="n">
        <f aca="false">C7*C12/365*C15</f>
        <v>101746947.36</v>
      </c>
      <c r="F21" s="49" t="s">
        <v>59</v>
      </c>
      <c r="G21" s="49" t="s">
        <v>56</v>
      </c>
    </row>
    <row r="22" customFormat="false" ht="43.5" hidden="false" customHeight="true" outlineLevel="0" collapsed="false">
      <c r="B22" s="53" t="s">
        <v>60</v>
      </c>
      <c r="C22" s="54" t="s">
        <v>61</v>
      </c>
      <c r="D22" s="22" t="s">
        <v>62</v>
      </c>
      <c r="E22" s="55" t="n">
        <f aca="false">C6*C10/365*C15+C7*C11/365*C15</f>
        <v>120752875.35</v>
      </c>
      <c r="F22" s="56" t="s">
        <v>63</v>
      </c>
      <c r="G22" s="53" t="s">
        <v>64</v>
      </c>
    </row>
    <row r="23" customFormat="false" ht="7.5" hidden="false" customHeight="true" outlineLevel="0" collapsed="false"/>
    <row r="24" customFormat="false" ht="15" hidden="false" customHeight="false" outlineLevel="0" collapsed="false">
      <c r="B24" s="38" t="s">
        <v>65</v>
      </c>
      <c r="C24" s="38"/>
      <c r="D24" s="38"/>
      <c r="E24" s="38"/>
      <c r="F24" s="38"/>
      <c r="G24" s="38"/>
    </row>
    <row r="25" customFormat="false" ht="35.05" hidden="false" customHeight="false" outlineLevel="0" collapsed="false">
      <c r="B25" s="4" t="s">
        <v>66</v>
      </c>
      <c r="C25" s="4" t="s">
        <v>67</v>
      </c>
      <c r="D25" s="4" t="s">
        <v>68</v>
      </c>
      <c r="E25" s="4" t="s">
        <v>69</v>
      </c>
      <c r="F25" s="4" t="s">
        <v>70</v>
      </c>
      <c r="G25" s="4" t="s">
        <v>71</v>
      </c>
    </row>
    <row r="26" customFormat="false" ht="15" hidden="false" customHeight="false" outlineLevel="0" collapsed="false">
      <c r="B26" s="5" t="s">
        <v>72</v>
      </c>
      <c r="C26" s="57" t="n">
        <v>31</v>
      </c>
      <c r="D26" s="6" t="n">
        <f aca="false">C6*C10/365*C26</f>
        <v>4893910.01287671</v>
      </c>
      <c r="E26" s="6" t="n">
        <f aca="false">C7*C11/365*C26</f>
        <v>5361813.6469863</v>
      </c>
      <c r="F26" s="58" t="n">
        <f aca="false">D26+E26</f>
        <v>10255723.659863</v>
      </c>
      <c r="G26" s="59" t="n">
        <f aca="false">F26</f>
        <v>10255723.659863</v>
      </c>
    </row>
    <row r="27" customFormat="false" ht="15" hidden="false" customHeight="false" outlineLevel="0" collapsed="false">
      <c r="B27" s="10" t="s">
        <v>73</v>
      </c>
      <c r="C27" s="60" t="n">
        <v>28</v>
      </c>
      <c r="D27" s="11" t="n">
        <f aca="false">C6*C10/365*C27</f>
        <v>4420305.81808219</v>
      </c>
      <c r="E27" s="11" t="n">
        <f aca="false">C7*C11/365*C27</f>
        <v>4842928.45534247</v>
      </c>
      <c r="F27" s="23" t="n">
        <f aca="false">D27+E27</f>
        <v>9263234.27342466</v>
      </c>
      <c r="G27" s="61" t="n">
        <f aca="false">G26+F27</f>
        <v>19518957.9332877</v>
      </c>
    </row>
    <row r="28" customFormat="false" ht="15" hidden="false" customHeight="false" outlineLevel="0" collapsed="false">
      <c r="B28" s="5" t="s">
        <v>74</v>
      </c>
      <c r="C28" s="57" t="n">
        <v>31</v>
      </c>
      <c r="D28" s="6" t="n">
        <f aca="false">C6*C10/365*C28</f>
        <v>4893910.01287671</v>
      </c>
      <c r="E28" s="6" t="n">
        <f aca="false">C7*C11/365*C28</f>
        <v>5361813.6469863</v>
      </c>
      <c r="F28" s="58" t="n">
        <f aca="false">D28+E28</f>
        <v>10255723.659863</v>
      </c>
      <c r="G28" s="59" t="n">
        <f aca="false">G27+F28</f>
        <v>29774681.5931507</v>
      </c>
    </row>
    <row r="29" customFormat="false" ht="15" hidden="false" customHeight="false" outlineLevel="0" collapsed="false">
      <c r="B29" s="10" t="s">
        <v>75</v>
      </c>
      <c r="C29" s="60" t="n">
        <v>30</v>
      </c>
      <c r="D29" s="11" t="n">
        <f aca="false">C6*C10/365*C29</f>
        <v>4736041.94794521</v>
      </c>
      <c r="E29" s="11" t="n">
        <f aca="false">C7*C11/365*C29</f>
        <v>5188851.91643836</v>
      </c>
      <c r="F29" s="23" t="n">
        <f aca="false">D29+E29</f>
        <v>9924893.86438356</v>
      </c>
      <c r="G29" s="61" t="n">
        <f aca="false">G28+F29</f>
        <v>39699575.4575342</v>
      </c>
    </row>
    <row r="30" customFormat="false" ht="15" hidden="false" customHeight="false" outlineLevel="0" collapsed="false">
      <c r="B30" s="5" t="s">
        <v>76</v>
      </c>
      <c r="C30" s="57" t="n">
        <v>31</v>
      </c>
      <c r="D30" s="6" t="n">
        <f aca="false">C6*C10/365*C30</f>
        <v>4893910.01287671</v>
      </c>
      <c r="E30" s="6" t="n">
        <f aca="false">C7*C11/365*C30</f>
        <v>5361813.6469863</v>
      </c>
      <c r="F30" s="58" t="n">
        <f aca="false">D30+E30</f>
        <v>10255723.659863</v>
      </c>
      <c r="G30" s="59" t="n">
        <f aca="false">G29+F30</f>
        <v>49955299.1173973</v>
      </c>
    </row>
    <row r="31" customFormat="false" ht="15" hidden="false" customHeight="false" outlineLevel="0" collapsed="false">
      <c r="B31" s="10" t="s">
        <v>77</v>
      </c>
      <c r="C31" s="60" t="n">
        <v>30</v>
      </c>
      <c r="D31" s="11" t="n">
        <f aca="false">C6*C10/365*C31</f>
        <v>4736041.94794521</v>
      </c>
      <c r="E31" s="11" t="n">
        <f aca="false">C7*C11/365*C31</f>
        <v>5188851.91643836</v>
      </c>
      <c r="F31" s="23" t="n">
        <f aca="false">D31+E31</f>
        <v>9924893.86438356</v>
      </c>
      <c r="G31" s="61" t="n">
        <f aca="false">G30+F31</f>
        <v>59880192.9817808</v>
      </c>
    </row>
    <row r="32" customFormat="false" ht="15" hidden="false" customHeight="false" outlineLevel="0" collapsed="false">
      <c r="B32" s="5" t="s">
        <v>78</v>
      </c>
      <c r="C32" s="57" t="n">
        <v>31</v>
      </c>
      <c r="D32" s="6" t="n">
        <f aca="false">C6*C10/365*C32</f>
        <v>4893910.01287671</v>
      </c>
      <c r="E32" s="6" t="n">
        <f aca="false">C7*C11/365*C32</f>
        <v>5361813.6469863</v>
      </c>
      <c r="F32" s="58" t="n">
        <f aca="false">D32+E32</f>
        <v>10255723.659863</v>
      </c>
      <c r="G32" s="59" t="n">
        <f aca="false">G31+F32</f>
        <v>70135916.6416438</v>
      </c>
    </row>
    <row r="33" customFormat="false" ht="15" hidden="false" customHeight="false" outlineLevel="0" collapsed="false">
      <c r="B33" s="10" t="s">
        <v>79</v>
      </c>
      <c r="C33" s="60" t="n">
        <v>31</v>
      </c>
      <c r="D33" s="11" t="n">
        <f aca="false">C6*C10/365*C33</f>
        <v>4893910.01287671</v>
      </c>
      <c r="E33" s="11" t="n">
        <f aca="false">C7*C11/365*C33</f>
        <v>5361813.6469863</v>
      </c>
      <c r="F33" s="23" t="n">
        <f aca="false">D33+E33</f>
        <v>10255723.659863</v>
      </c>
      <c r="G33" s="61" t="n">
        <f aca="false">G32+F33</f>
        <v>80391640.3015069</v>
      </c>
    </row>
    <row r="34" customFormat="false" ht="15" hidden="false" customHeight="false" outlineLevel="0" collapsed="false">
      <c r="B34" s="5" t="s">
        <v>80</v>
      </c>
      <c r="C34" s="57" t="n">
        <v>30</v>
      </c>
      <c r="D34" s="6" t="n">
        <f aca="false">C6*C10/365*C34</f>
        <v>4736041.94794521</v>
      </c>
      <c r="E34" s="6" t="n">
        <f aca="false">C7*C11/365*C34</f>
        <v>5188851.91643836</v>
      </c>
      <c r="F34" s="58" t="n">
        <f aca="false">D34+E34</f>
        <v>9924893.86438356</v>
      </c>
      <c r="G34" s="59" t="n">
        <f aca="false">G33+F34</f>
        <v>90316534.1658904</v>
      </c>
    </row>
    <row r="35" customFormat="false" ht="15" hidden="false" customHeight="false" outlineLevel="0" collapsed="false">
      <c r="B35" s="10" t="s">
        <v>81</v>
      </c>
      <c r="C35" s="60" t="n">
        <v>31</v>
      </c>
      <c r="D35" s="11" t="n">
        <f aca="false">C6*C10/365*C35</f>
        <v>4893910.01287671</v>
      </c>
      <c r="E35" s="11" t="n">
        <f aca="false">C7*C11/365*C35</f>
        <v>5361813.6469863</v>
      </c>
      <c r="F35" s="23" t="n">
        <f aca="false">D35+E35</f>
        <v>10255723.659863</v>
      </c>
      <c r="G35" s="61" t="n">
        <f aca="false">G34+F35</f>
        <v>100572257.825753</v>
      </c>
    </row>
    <row r="36" customFormat="false" ht="15" hidden="false" customHeight="false" outlineLevel="0" collapsed="false">
      <c r="B36" s="5" t="s">
        <v>82</v>
      </c>
      <c r="C36" s="57" t="n">
        <v>30</v>
      </c>
      <c r="D36" s="6" t="n">
        <f aca="false">C6*C10/365*C36</f>
        <v>4736041.94794521</v>
      </c>
      <c r="E36" s="6" t="n">
        <f aca="false">C7*C11/365*C36</f>
        <v>5188851.91643836</v>
      </c>
      <c r="F36" s="58" t="n">
        <f aca="false">D36+E36</f>
        <v>9924893.86438356</v>
      </c>
      <c r="G36" s="59" t="n">
        <f aca="false">G35+F36</f>
        <v>110497151.690137</v>
      </c>
    </row>
    <row r="37" customFormat="false" ht="15" hidden="false" customHeight="false" outlineLevel="0" collapsed="false">
      <c r="B37" s="10" t="s">
        <v>83</v>
      </c>
      <c r="C37" s="60" t="n">
        <v>31</v>
      </c>
      <c r="D37" s="11" t="n">
        <f aca="false">C6*C10/365*C37</f>
        <v>4893910.01287671</v>
      </c>
      <c r="E37" s="11" t="n">
        <f aca="false">C7*C11/365*C37</f>
        <v>5361813.6469863</v>
      </c>
      <c r="F37" s="23" t="n">
        <f aca="false">D37+E37</f>
        <v>10255723.659863</v>
      </c>
      <c r="G37" s="61" t="n">
        <f aca="false">G36+F37</f>
        <v>120752875.35</v>
      </c>
    </row>
    <row r="38" customFormat="false" ht="18" hidden="false" customHeight="true" outlineLevel="0" collapsed="false">
      <c r="B38" s="62" t="s">
        <v>84</v>
      </c>
      <c r="C38" s="63" t="n">
        <f aca="false">SUM(C26:C37)</f>
        <v>365</v>
      </c>
      <c r="D38" s="64" t="n">
        <f aca="false">SUM(D26:D37)</f>
        <v>57621843.7</v>
      </c>
      <c r="E38" s="64" t="n">
        <f aca="false">SUM(E26:E37)</f>
        <v>63131031.65</v>
      </c>
      <c r="F38" s="64" t="n">
        <f aca="false">SUM(F26:F37)</f>
        <v>120752875.35</v>
      </c>
      <c r="G38" s="65"/>
    </row>
  </sheetData>
  <mergeCells count="4">
    <mergeCell ref="B2:G2"/>
    <mergeCell ref="B5:G5"/>
    <mergeCell ref="B18:G18"/>
    <mergeCell ref="B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0"/>
    <col collapsed="false" customWidth="true" hidden="false" outlineLevel="0" max="3" min="3" style="0" width="50"/>
  </cols>
  <sheetData>
    <row r="1" customFormat="false" ht="7.5" hidden="false" customHeight="true" outlineLevel="0" collapsed="false"/>
    <row r="2" customFormat="false" ht="17.35" hidden="false" customHeight="false" outlineLevel="0" collapsed="false">
      <c r="B2" s="1" t="s">
        <v>85</v>
      </c>
      <c r="C2" s="1"/>
    </row>
    <row r="4" customFormat="false" ht="13.5" hidden="false" customHeight="true" outlineLevel="0" collapsed="false">
      <c r="B4" s="66" t="s">
        <v>86</v>
      </c>
      <c r="C4" s="66"/>
    </row>
    <row r="5" customFormat="false" ht="3.75" hidden="false" customHeight="true" outlineLevel="0" collapsed="false"/>
    <row r="6" customFormat="false" ht="39.75" hidden="false" customHeight="true" outlineLevel="0" collapsed="false">
      <c r="B6" s="67" t="s">
        <v>87</v>
      </c>
      <c r="C6" s="68" t="s">
        <v>88</v>
      </c>
    </row>
    <row r="7" customFormat="false" ht="3.75" hidden="false" customHeight="true" outlineLevel="0" collapsed="false"/>
    <row r="8" customFormat="false" ht="13.5" hidden="false" customHeight="true" outlineLevel="0" collapsed="false">
      <c r="B8" s="69" t="s">
        <v>89</v>
      </c>
      <c r="C8" s="69"/>
    </row>
    <row r="9" customFormat="false" ht="3.75" hidden="false" customHeight="true" outlineLevel="0" collapsed="false"/>
    <row r="10" customFormat="false" ht="42" hidden="false" customHeight="true" outlineLevel="0" collapsed="false">
      <c r="B10" s="70" t="s">
        <v>90</v>
      </c>
      <c r="C10" s="71" t="s">
        <v>91</v>
      </c>
    </row>
    <row r="11" customFormat="false" ht="3.75" hidden="false" customHeight="true" outlineLevel="0" collapsed="false"/>
    <row r="12" customFormat="false" ht="13.5" hidden="false" customHeight="true" outlineLevel="0" collapsed="false">
      <c r="B12" s="72" t="s">
        <v>92</v>
      </c>
      <c r="C12" s="72"/>
    </row>
    <row r="13" customFormat="false" ht="3.75" hidden="false" customHeight="true" outlineLevel="0" collapsed="false"/>
    <row r="14" customFormat="false" ht="168" hidden="false" customHeight="true" outlineLevel="0" collapsed="false">
      <c r="B14" s="73" t="s">
        <v>93</v>
      </c>
      <c r="C14" s="74" t="s">
        <v>94</v>
      </c>
    </row>
    <row r="15" customFormat="false" ht="3.75" hidden="false" customHeight="true" outlineLevel="0" collapsed="false"/>
    <row r="16" customFormat="false" ht="139.5" hidden="false" customHeight="true" outlineLevel="0" collapsed="false">
      <c r="B16" s="73" t="s">
        <v>95</v>
      </c>
      <c r="C16" s="74" t="s">
        <v>96</v>
      </c>
    </row>
    <row r="17" customFormat="false" ht="3.75" hidden="false" customHeight="true" outlineLevel="0" collapsed="false"/>
    <row r="18" customFormat="false" ht="13.5" hidden="false" customHeight="true" outlineLevel="0" collapsed="false">
      <c r="B18" s="72" t="s">
        <v>97</v>
      </c>
      <c r="C18" s="72"/>
    </row>
    <row r="19" customFormat="false" ht="3.75" hidden="false" customHeight="true" outlineLevel="0" collapsed="false"/>
    <row r="20" customFormat="false" ht="126" hidden="false" customHeight="true" outlineLevel="0" collapsed="false">
      <c r="B20" s="73" t="s">
        <v>98</v>
      </c>
      <c r="C20" s="74" t="s">
        <v>99</v>
      </c>
    </row>
    <row r="21" customFormat="false" ht="3.75" hidden="false" customHeight="true" outlineLevel="0" collapsed="false"/>
    <row r="22" customFormat="false" ht="13.5" hidden="false" customHeight="true" outlineLevel="0" collapsed="false">
      <c r="B22" s="72" t="s">
        <v>100</v>
      </c>
      <c r="C22" s="72"/>
    </row>
    <row r="23" customFormat="false" ht="3.75" hidden="false" customHeight="true" outlineLevel="0" collapsed="false"/>
    <row r="24" customFormat="false" ht="139.5" hidden="false" customHeight="true" outlineLevel="0" collapsed="false">
      <c r="B24" s="75" t="s">
        <v>101</v>
      </c>
      <c r="C24" s="76" t="s">
        <v>102</v>
      </c>
    </row>
    <row r="25" customFormat="false" ht="3.75" hidden="false" customHeight="true" outlineLevel="0" collapsed="false"/>
  </sheetData>
  <mergeCells count="6">
    <mergeCell ref="B2:C2"/>
    <mergeCell ref="B4:C4"/>
    <mergeCell ref="B8:C8"/>
    <mergeCell ref="B12:C12"/>
    <mergeCell ref="B18:C18"/>
    <mergeCell ref="B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2026-03-25T12:15:31Z</dcterms:created>
  <dc:creator>openpyxl</dc:creator>
  <dc:description/>
  <dc:language>en-US</dc:language>
  <cp:lastModifiedBy/>
  <dcterms:modified xsi:type="dcterms:W3CDTF">2026-03-25T12:15:31Z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